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byan\Desktop\Thesis bismiAllah\presentations\after returning\"/>
    </mc:Choice>
  </mc:AlternateContent>
  <xr:revisionPtr revIDLastSave="0" documentId="8_{74E3EC9F-6C8F-4CD9-B8F2-88E038A992A9}" xr6:coauthVersionLast="47" xr6:coauthVersionMax="47" xr10:uidLastSave="{00000000-0000-0000-0000-000000000000}"/>
  <bookViews>
    <workbookView xWindow="-108" yWindow="-108" windowWidth="23256" windowHeight="12456" xr2:uid="{82D4A998-842F-410F-B6FC-A05D115116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5" i="1" l="1"/>
  <c r="J58" i="1" s="1"/>
  <c r="J61" i="1" s="1"/>
  <c r="J64" i="1" s="1"/>
  <c r="J67" i="1" s="1"/>
  <c r="J70" i="1" s="1"/>
  <c r="J73" i="1" s="1"/>
  <c r="J76" i="1" s="1"/>
  <c r="J79" i="1" s="1"/>
  <c r="J82" i="1" s="1"/>
  <c r="J85" i="1" s="1"/>
  <c r="J88" i="1" s="1"/>
  <c r="J91" i="1" s="1"/>
  <c r="J94" i="1" s="1"/>
  <c r="J97" i="1" s="1"/>
  <c r="J56" i="1"/>
  <c r="J59" i="1" s="1"/>
  <c r="J62" i="1" s="1"/>
  <c r="J65" i="1" s="1"/>
  <c r="J68" i="1" s="1"/>
  <c r="J71" i="1" s="1"/>
  <c r="J74" i="1" s="1"/>
  <c r="J77" i="1" s="1"/>
  <c r="J80" i="1" s="1"/>
  <c r="J83" i="1" s="1"/>
  <c r="J86" i="1" s="1"/>
  <c r="J89" i="1" s="1"/>
  <c r="J92" i="1" s="1"/>
  <c r="J95" i="1" s="1"/>
  <c r="J98" i="1" s="1"/>
  <c r="J101" i="1" s="1"/>
  <c r="J104" i="1" s="1"/>
  <c r="J107" i="1" s="1"/>
  <c r="J110" i="1" s="1"/>
  <c r="J113" i="1" s="1"/>
  <c r="J116" i="1" s="1"/>
  <c r="J119" i="1" s="1"/>
  <c r="J122" i="1" s="1"/>
  <c r="J125" i="1" s="1"/>
  <c r="J128" i="1" s="1"/>
  <c r="J131" i="1" s="1"/>
  <c r="J134" i="1" s="1"/>
  <c r="J137" i="1" s="1"/>
  <c r="J140" i="1" s="1"/>
  <c r="J143" i="1" s="1"/>
  <c r="J146" i="1" s="1"/>
  <c r="J149" i="1" s="1"/>
  <c r="J152" i="1" s="1"/>
  <c r="J155" i="1" s="1"/>
  <c r="J158" i="1" s="1"/>
  <c r="J161" i="1" s="1"/>
  <c r="J164" i="1" s="1"/>
  <c r="J167" i="1" s="1"/>
  <c r="J170" i="1" s="1"/>
  <c r="J173" i="1" s="1"/>
  <c r="J176" i="1" s="1"/>
  <c r="J179" i="1" s="1"/>
  <c r="J182" i="1" s="1"/>
  <c r="J185" i="1" s="1"/>
  <c r="J188" i="1" s="1"/>
  <c r="J191" i="1" s="1"/>
  <c r="J194" i="1" s="1"/>
  <c r="J197" i="1" s="1"/>
  <c r="J200" i="1" s="1"/>
  <c r="J203" i="1" s="1"/>
  <c r="J206" i="1" s="1"/>
  <c r="J54" i="1"/>
  <c r="J57" i="1" s="1"/>
  <c r="J60" i="1" s="1"/>
  <c r="J63" i="1" s="1"/>
  <c r="J66" i="1" s="1"/>
  <c r="J69" i="1" s="1"/>
  <c r="J72" i="1" s="1"/>
  <c r="J75" i="1" s="1"/>
  <c r="J78" i="1" s="1"/>
  <c r="J81" i="1" s="1"/>
  <c r="J84" i="1" s="1"/>
  <c r="J87" i="1" s="1"/>
  <c r="J90" i="1" s="1"/>
  <c r="J93" i="1" s="1"/>
  <c r="J96" i="1" s="1"/>
  <c r="J99" i="1" s="1"/>
  <c r="J102" i="1" s="1"/>
  <c r="J105" i="1" s="1"/>
  <c r="J108" i="1" s="1"/>
  <c r="J111" i="1" s="1"/>
  <c r="J114" i="1" s="1"/>
  <c r="J117" i="1" s="1"/>
  <c r="J120" i="1" s="1"/>
  <c r="J123" i="1" s="1"/>
  <c r="J126" i="1" s="1"/>
  <c r="J129" i="1" s="1"/>
  <c r="J132" i="1" s="1"/>
  <c r="J135" i="1" s="1"/>
  <c r="J138" i="1" s="1"/>
  <c r="J141" i="1" s="1"/>
  <c r="J144" i="1" s="1"/>
  <c r="J147" i="1" s="1"/>
  <c r="J150" i="1" s="1"/>
  <c r="J153" i="1" s="1"/>
  <c r="J156" i="1" s="1"/>
  <c r="J159" i="1" s="1"/>
  <c r="J162" i="1" s="1"/>
  <c r="J165" i="1" s="1"/>
  <c r="J168" i="1" s="1"/>
  <c r="J171" i="1" s="1"/>
  <c r="J174" i="1" s="1"/>
  <c r="J177" i="1" s="1"/>
  <c r="J180" i="1" s="1"/>
  <c r="J183" i="1" s="1"/>
  <c r="J186" i="1" s="1"/>
  <c r="J189" i="1" s="1"/>
  <c r="J192" i="1" s="1"/>
  <c r="J195" i="1" s="1"/>
  <c r="J198" i="1" s="1"/>
  <c r="J201" i="1" s="1"/>
  <c r="J204" i="1" s="1"/>
  <c r="J207" i="1" s="1"/>
  <c r="C3" i="1"/>
  <c r="D2" i="1"/>
  <c r="G2" i="1"/>
  <c r="D3" i="1"/>
  <c r="E3" i="1"/>
  <c r="G3" i="1"/>
  <c r="C4" i="1"/>
  <c r="D4" i="1"/>
  <c r="E4" i="1" s="1"/>
  <c r="G4" i="1"/>
  <c r="C5" i="1"/>
  <c r="D5" i="1"/>
  <c r="E5" i="1"/>
  <c r="G5" i="1"/>
  <c r="C6" i="1"/>
  <c r="D6" i="1"/>
  <c r="E6" i="1" s="1"/>
  <c r="G6" i="1"/>
  <c r="C7" i="1"/>
  <c r="D7" i="1"/>
  <c r="G7" i="1"/>
  <c r="C8" i="1"/>
  <c r="D8" i="1"/>
  <c r="E8" i="1" s="1"/>
  <c r="G8" i="1"/>
  <c r="C9" i="1"/>
  <c r="D9" i="1"/>
  <c r="E9" i="1"/>
  <c r="G9" i="1"/>
  <c r="C10" i="1"/>
  <c r="D10" i="1"/>
  <c r="E10" i="1" s="1"/>
  <c r="G10" i="1"/>
  <c r="C11" i="1"/>
  <c r="D11" i="1"/>
  <c r="G11" i="1"/>
  <c r="C12" i="1"/>
  <c r="D12" i="1"/>
  <c r="E12" i="1" s="1"/>
  <c r="G12" i="1"/>
  <c r="C13" i="1"/>
  <c r="D13" i="1"/>
  <c r="E13" i="1"/>
  <c r="G13" i="1"/>
  <c r="C14" i="1"/>
  <c r="D14" i="1"/>
  <c r="E14" i="1" s="1"/>
  <c r="G14" i="1"/>
  <c r="C15" i="1"/>
  <c r="D15" i="1"/>
  <c r="G15" i="1"/>
  <c r="C16" i="1"/>
  <c r="D16" i="1"/>
  <c r="E16" i="1" s="1"/>
  <c r="G16" i="1"/>
  <c r="C17" i="1"/>
  <c r="D17" i="1"/>
  <c r="E17" i="1"/>
  <c r="G17" i="1"/>
  <c r="C18" i="1"/>
  <c r="D18" i="1"/>
  <c r="E18" i="1" s="1"/>
  <c r="G18" i="1"/>
  <c r="C19" i="1"/>
  <c r="D19" i="1"/>
  <c r="G19" i="1"/>
  <c r="C20" i="1"/>
  <c r="D20" i="1"/>
  <c r="E20" i="1" s="1"/>
  <c r="G20" i="1"/>
  <c r="C21" i="1"/>
  <c r="D21" i="1"/>
  <c r="E21" i="1"/>
  <c r="G21" i="1"/>
  <c r="C22" i="1"/>
  <c r="D22" i="1"/>
  <c r="E22" i="1" s="1"/>
  <c r="G22" i="1"/>
  <c r="C23" i="1"/>
  <c r="D23" i="1"/>
  <c r="G23" i="1"/>
  <c r="C24" i="1"/>
  <c r="D24" i="1"/>
  <c r="E24" i="1" s="1"/>
  <c r="G24" i="1"/>
  <c r="C25" i="1"/>
  <c r="D25" i="1"/>
  <c r="E25" i="1"/>
  <c r="G25" i="1"/>
  <c r="C26" i="1"/>
  <c r="D26" i="1"/>
  <c r="E26" i="1" s="1"/>
  <c r="G26" i="1"/>
  <c r="C27" i="1"/>
  <c r="D27" i="1"/>
  <c r="G27" i="1"/>
  <c r="C28" i="1"/>
  <c r="D28" i="1"/>
  <c r="E28" i="1" s="1"/>
  <c r="G28" i="1"/>
  <c r="C29" i="1"/>
  <c r="D29" i="1"/>
  <c r="E29" i="1"/>
  <c r="G29" i="1"/>
  <c r="C30" i="1"/>
  <c r="D30" i="1"/>
  <c r="E30" i="1" s="1"/>
  <c r="G30" i="1"/>
  <c r="C31" i="1"/>
  <c r="D31" i="1"/>
  <c r="G31" i="1"/>
  <c r="C32" i="1"/>
  <c r="D32" i="1"/>
  <c r="E32" i="1" s="1"/>
  <c r="G32" i="1"/>
  <c r="C33" i="1"/>
  <c r="D33" i="1"/>
  <c r="E33" i="1"/>
  <c r="G33" i="1"/>
  <c r="C34" i="1"/>
  <c r="D34" i="1"/>
  <c r="E34" i="1" s="1"/>
  <c r="G34" i="1"/>
  <c r="C35" i="1"/>
  <c r="D35" i="1"/>
  <c r="G35" i="1"/>
  <c r="C36" i="1"/>
  <c r="D36" i="1"/>
  <c r="E36" i="1" s="1"/>
  <c r="G36" i="1"/>
  <c r="C37" i="1"/>
  <c r="D37" i="1"/>
  <c r="E37" i="1"/>
  <c r="G37" i="1"/>
  <c r="C38" i="1"/>
  <c r="D38" i="1"/>
  <c r="E38" i="1" s="1"/>
  <c r="G38" i="1"/>
  <c r="C39" i="1"/>
  <c r="D39" i="1"/>
  <c r="G39" i="1"/>
  <c r="C40" i="1"/>
  <c r="D40" i="1"/>
  <c r="E40" i="1" s="1"/>
  <c r="G40" i="1"/>
  <c r="C41" i="1"/>
  <c r="D41" i="1"/>
  <c r="E41" i="1"/>
  <c r="G41" i="1"/>
  <c r="C42" i="1"/>
  <c r="D42" i="1"/>
  <c r="E42" i="1" s="1"/>
  <c r="G42" i="1"/>
  <c r="C43" i="1"/>
  <c r="D43" i="1"/>
  <c r="G43" i="1"/>
  <c r="C44" i="1"/>
  <c r="D44" i="1"/>
  <c r="E44" i="1" s="1"/>
  <c r="G44" i="1"/>
  <c r="C45" i="1"/>
  <c r="D45" i="1"/>
  <c r="E45" i="1"/>
  <c r="G45" i="1"/>
  <c r="C46" i="1"/>
  <c r="D46" i="1"/>
  <c r="E46" i="1" s="1"/>
  <c r="G46" i="1"/>
  <c r="C47" i="1"/>
  <c r="D47" i="1"/>
  <c r="G47" i="1"/>
  <c r="C48" i="1"/>
  <c r="D48" i="1"/>
  <c r="E48" i="1" s="1"/>
  <c r="G48" i="1"/>
  <c r="C49" i="1"/>
  <c r="D49" i="1"/>
  <c r="E49" i="1"/>
  <c r="G49" i="1"/>
  <c r="C50" i="1"/>
  <c r="D50" i="1"/>
  <c r="E50" i="1" s="1"/>
  <c r="G50" i="1"/>
  <c r="C51" i="1"/>
  <c r="D51" i="1"/>
  <c r="G51" i="1"/>
  <c r="C52" i="1"/>
  <c r="D52" i="1"/>
  <c r="E52" i="1" s="1"/>
  <c r="G52" i="1"/>
  <c r="C53" i="1"/>
  <c r="D53" i="1"/>
  <c r="E53" i="1" s="1"/>
  <c r="G53" i="1"/>
  <c r="C54" i="1"/>
  <c r="D54" i="1"/>
  <c r="E54" i="1" s="1"/>
  <c r="G54" i="1"/>
  <c r="C55" i="1"/>
  <c r="D55" i="1"/>
  <c r="G55" i="1"/>
  <c r="C56" i="1"/>
  <c r="D56" i="1"/>
  <c r="E56" i="1" s="1"/>
  <c r="G56" i="1"/>
  <c r="C57" i="1"/>
  <c r="D57" i="1"/>
  <c r="E57" i="1" s="1"/>
  <c r="G57" i="1"/>
  <c r="C58" i="1"/>
  <c r="D58" i="1"/>
  <c r="E58" i="1" s="1"/>
  <c r="G58" i="1"/>
  <c r="C59" i="1"/>
  <c r="D59" i="1"/>
  <c r="E59" i="1" s="1"/>
  <c r="G59" i="1"/>
  <c r="C60" i="1"/>
  <c r="D60" i="1"/>
  <c r="G60" i="1"/>
  <c r="C61" i="1"/>
  <c r="D61" i="1"/>
  <c r="E61" i="1" s="1"/>
  <c r="G61" i="1"/>
  <c r="C62" i="1"/>
  <c r="D62" i="1"/>
  <c r="G62" i="1"/>
  <c r="C63" i="1"/>
  <c r="D63" i="1"/>
  <c r="E63" i="1" s="1"/>
  <c r="G63" i="1"/>
  <c r="C64" i="1"/>
  <c r="D64" i="1"/>
  <c r="E64" i="1" s="1"/>
  <c r="G64" i="1"/>
  <c r="C65" i="1"/>
  <c r="D65" i="1"/>
  <c r="E65" i="1" s="1"/>
  <c r="G65" i="1"/>
  <c r="C66" i="1"/>
  <c r="D66" i="1"/>
  <c r="G66" i="1"/>
  <c r="C67" i="1"/>
  <c r="D67" i="1"/>
  <c r="G67" i="1"/>
  <c r="C68" i="1"/>
  <c r="D68" i="1"/>
  <c r="E68" i="1" s="1"/>
  <c r="G68" i="1"/>
  <c r="C69" i="1"/>
  <c r="D69" i="1"/>
  <c r="E69" i="1"/>
  <c r="G69" i="1"/>
  <c r="C70" i="1"/>
  <c r="D70" i="1"/>
  <c r="G70" i="1"/>
  <c r="C71" i="1"/>
  <c r="D71" i="1"/>
  <c r="E71" i="1" s="1"/>
  <c r="G71" i="1"/>
  <c r="C72" i="1"/>
  <c r="D72" i="1"/>
  <c r="G72" i="1"/>
  <c r="C73" i="1"/>
  <c r="D73" i="1"/>
  <c r="E73" i="1"/>
  <c r="G73" i="1"/>
  <c r="C74" i="1"/>
  <c r="D74" i="1"/>
  <c r="E74" i="1" s="1"/>
  <c r="G74" i="1"/>
  <c r="C75" i="1"/>
  <c r="D75" i="1"/>
  <c r="G75" i="1"/>
  <c r="C76" i="1"/>
  <c r="D76" i="1"/>
  <c r="E76" i="1" s="1"/>
  <c r="G76" i="1"/>
  <c r="C77" i="1"/>
  <c r="D77" i="1"/>
  <c r="E77" i="1" s="1"/>
  <c r="G77" i="1"/>
  <c r="C78" i="1"/>
  <c r="D78" i="1"/>
  <c r="E78" i="1" s="1"/>
  <c r="G78" i="1"/>
  <c r="C79" i="1"/>
  <c r="D79" i="1"/>
  <c r="E79" i="1" s="1"/>
  <c r="G79" i="1"/>
  <c r="C80" i="1"/>
  <c r="D80" i="1"/>
  <c r="G80" i="1"/>
  <c r="C81" i="1"/>
  <c r="D81" i="1"/>
  <c r="E81" i="1" s="1"/>
  <c r="G81" i="1"/>
  <c r="C82" i="1"/>
  <c r="D82" i="1"/>
  <c r="E82" i="1" s="1"/>
  <c r="G82" i="1"/>
  <c r="C83" i="1"/>
  <c r="D83" i="1"/>
  <c r="G83" i="1"/>
  <c r="C84" i="1"/>
  <c r="D84" i="1"/>
  <c r="E85" i="1" s="1"/>
  <c r="C85" i="1"/>
  <c r="D85" i="1"/>
  <c r="C86" i="1"/>
  <c r="D86" i="1"/>
  <c r="C87" i="1"/>
  <c r="D87" i="1"/>
  <c r="C88" i="1"/>
  <c r="D88" i="1"/>
  <c r="C89" i="1"/>
  <c r="D89" i="1"/>
  <c r="E89" i="1" s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E100" i="1" s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C108" i="1"/>
  <c r="D108" i="1"/>
  <c r="E108" i="1" s="1"/>
  <c r="C109" i="1"/>
  <c r="D109" i="1"/>
  <c r="C110" i="1"/>
  <c r="D110" i="1"/>
  <c r="C111" i="1"/>
  <c r="D111" i="1"/>
  <c r="C112" i="1"/>
  <c r="D112" i="1"/>
  <c r="C113" i="1"/>
  <c r="D113" i="1"/>
  <c r="C114" i="1"/>
  <c r="D114" i="1"/>
  <c r="E114" i="1" s="1"/>
  <c r="C115" i="1"/>
  <c r="D115" i="1"/>
  <c r="E115" i="1" s="1"/>
  <c r="C116" i="1"/>
  <c r="D116" i="1"/>
  <c r="E116" i="1" s="1"/>
  <c r="C117" i="1"/>
  <c r="D117" i="1"/>
  <c r="E117" i="1" s="1"/>
  <c r="C118" i="1"/>
  <c r="D118" i="1"/>
  <c r="C119" i="1"/>
  <c r="D119" i="1"/>
  <c r="E119" i="1" s="1"/>
  <c r="C120" i="1"/>
  <c r="D120" i="1"/>
  <c r="C121" i="1"/>
  <c r="D121" i="1"/>
  <c r="E121" i="1" s="1"/>
  <c r="C122" i="1"/>
  <c r="D122" i="1"/>
  <c r="E122" i="1" s="1"/>
  <c r="C123" i="1"/>
  <c r="D123" i="1"/>
  <c r="G123" i="1"/>
  <c r="C124" i="1"/>
  <c r="D124" i="1"/>
  <c r="G124" i="1"/>
  <c r="C125" i="1"/>
  <c r="D125" i="1"/>
  <c r="G125" i="1"/>
  <c r="C126" i="1"/>
  <c r="D126" i="1"/>
  <c r="E126" i="1" s="1"/>
  <c r="G126" i="1"/>
  <c r="C127" i="1"/>
  <c r="D127" i="1"/>
  <c r="G127" i="1"/>
  <c r="C128" i="1"/>
  <c r="D128" i="1"/>
  <c r="E128" i="1" s="1"/>
  <c r="G128" i="1"/>
  <c r="C129" i="1"/>
  <c r="D129" i="1"/>
  <c r="C130" i="1"/>
  <c r="D130" i="1"/>
  <c r="G130" i="1"/>
  <c r="C131" i="1"/>
  <c r="D131" i="1"/>
  <c r="E131" i="1" s="1"/>
  <c r="G131" i="1"/>
  <c r="C132" i="1"/>
  <c r="D132" i="1"/>
  <c r="E132" i="1"/>
  <c r="G132" i="1"/>
  <c r="C133" i="1"/>
  <c r="D133" i="1"/>
  <c r="E133" i="1" s="1"/>
  <c r="G133" i="1"/>
  <c r="C134" i="1"/>
  <c r="D134" i="1"/>
  <c r="G134" i="1"/>
  <c r="C135" i="1"/>
  <c r="D135" i="1"/>
  <c r="G135" i="1"/>
  <c r="C136" i="1"/>
  <c r="D136" i="1"/>
  <c r="E136" i="1"/>
  <c r="G136" i="1"/>
  <c r="C137" i="1"/>
  <c r="D137" i="1"/>
  <c r="E137" i="1" s="1"/>
  <c r="G137" i="1"/>
  <c r="C138" i="1"/>
  <c r="D138" i="1"/>
  <c r="E139" i="1" s="1"/>
  <c r="G138" i="1"/>
  <c r="C139" i="1"/>
  <c r="D139" i="1"/>
  <c r="G139" i="1"/>
  <c r="C140" i="1"/>
  <c r="D140" i="1"/>
  <c r="E140" i="1" s="1"/>
  <c r="C141" i="1"/>
  <c r="D141" i="1"/>
  <c r="E141" i="1"/>
  <c r="G141" i="1"/>
  <c r="C142" i="1"/>
  <c r="D142" i="1"/>
  <c r="E142" i="1" s="1"/>
  <c r="G142" i="1"/>
  <c r="C143" i="1"/>
  <c r="D143" i="1"/>
  <c r="E143" i="1" s="1"/>
  <c r="G143" i="1"/>
  <c r="C144" i="1"/>
  <c r="D144" i="1"/>
  <c r="G144" i="1"/>
  <c r="C145" i="1"/>
  <c r="D145" i="1"/>
  <c r="E145" i="1" s="1"/>
  <c r="G145" i="1"/>
  <c r="C146" i="1"/>
  <c r="D146" i="1"/>
  <c r="E146" i="1" s="1"/>
  <c r="G146" i="1"/>
  <c r="C147" i="1"/>
  <c r="D147" i="1"/>
  <c r="G147" i="1"/>
  <c r="C148" i="1"/>
  <c r="D148" i="1"/>
  <c r="E148" i="1" s="1"/>
  <c r="G148" i="1"/>
  <c r="C149" i="1"/>
  <c r="D149" i="1"/>
  <c r="G149" i="1"/>
  <c r="C150" i="1"/>
  <c r="D150" i="1"/>
  <c r="E150" i="1" s="1"/>
  <c r="G150" i="1"/>
  <c r="C151" i="1"/>
  <c r="D151" i="1"/>
  <c r="C152" i="1"/>
  <c r="D152" i="1"/>
  <c r="E152" i="1"/>
  <c r="C153" i="1"/>
  <c r="D153" i="1"/>
  <c r="E153" i="1" s="1"/>
  <c r="C154" i="1"/>
  <c r="D154" i="1"/>
  <c r="C155" i="1"/>
  <c r="D155" i="1"/>
  <c r="C156" i="1"/>
  <c r="D156" i="1"/>
  <c r="C157" i="1"/>
  <c r="D157" i="1"/>
  <c r="G157" i="1"/>
  <c r="C158" i="1"/>
  <c r="D158" i="1"/>
  <c r="G158" i="1"/>
  <c r="C159" i="1"/>
  <c r="D159" i="1"/>
  <c r="E159" i="1" s="1"/>
  <c r="G159" i="1"/>
  <c r="C160" i="1"/>
  <c r="D160" i="1"/>
  <c r="E160" i="1" s="1"/>
  <c r="G160" i="1"/>
  <c r="C161" i="1"/>
  <c r="D161" i="1"/>
  <c r="G161" i="1"/>
  <c r="C162" i="1"/>
  <c r="D162" i="1"/>
  <c r="G162" i="1"/>
  <c r="C163" i="1"/>
  <c r="D163" i="1"/>
  <c r="G163" i="1"/>
  <c r="C164" i="1"/>
  <c r="D164" i="1"/>
  <c r="G164" i="1"/>
  <c r="C165" i="1"/>
  <c r="D165" i="1"/>
  <c r="E165" i="1" s="1"/>
  <c r="G165" i="1"/>
  <c r="C166" i="1"/>
  <c r="D166" i="1"/>
  <c r="G166" i="1"/>
  <c r="C167" i="1"/>
  <c r="D167" i="1"/>
  <c r="G167" i="1"/>
  <c r="C168" i="1"/>
  <c r="D168" i="1"/>
  <c r="G168" i="1"/>
  <c r="C169" i="1"/>
  <c r="D169" i="1"/>
  <c r="E169" i="1" s="1"/>
  <c r="G169" i="1"/>
  <c r="C170" i="1"/>
  <c r="D170" i="1"/>
  <c r="E170" i="1" s="1"/>
  <c r="G170" i="1"/>
  <c r="C171" i="1"/>
  <c r="D171" i="1"/>
  <c r="G171" i="1"/>
  <c r="C172" i="1"/>
  <c r="D172" i="1"/>
  <c r="G172" i="1"/>
  <c r="C173" i="1"/>
  <c r="D173" i="1"/>
  <c r="E173" i="1" s="1"/>
  <c r="G173" i="1"/>
  <c r="C174" i="1"/>
  <c r="D174" i="1"/>
  <c r="G174" i="1"/>
  <c r="C175" i="1"/>
  <c r="D175" i="1"/>
  <c r="E175" i="1" s="1"/>
  <c r="G175" i="1"/>
  <c r="C176" i="1"/>
  <c r="D176" i="1"/>
  <c r="E176" i="1" s="1"/>
  <c r="G176" i="1"/>
  <c r="C177" i="1"/>
  <c r="D177" i="1"/>
  <c r="E178" i="1" s="1"/>
  <c r="C178" i="1"/>
  <c r="D178" i="1"/>
  <c r="G178" i="1"/>
  <c r="C179" i="1"/>
  <c r="D179" i="1"/>
  <c r="G179" i="1"/>
  <c r="C180" i="1"/>
  <c r="D180" i="1"/>
  <c r="G180" i="1"/>
  <c r="C181" i="1"/>
  <c r="D181" i="1"/>
  <c r="E181" i="1" s="1"/>
  <c r="G181" i="1"/>
  <c r="C182" i="1"/>
  <c r="D182" i="1"/>
  <c r="G182" i="1"/>
  <c r="C183" i="1"/>
  <c r="D183" i="1"/>
  <c r="E183" i="1" s="1"/>
  <c r="G183" i="1"/>
  <c r="C184" i="1"/>
  <c r="D184" i="1"/>
  <c r="G184" i="1"/>
  <c r="C185" i="1"/>
  <c r="D185" i="1"/>
  <c r="E185" i="1" s="1"/>
  <c r="G185" i="1"/>
  <c r="C186" i="1"/>
  <c r="D186" i="1"/>
  <c r="G186" i="1"/>
  <c r="C187" i="1"/>
  <c r="D187" i="1"/>
  <c r="G187" i="1"/>
  <c r="C188" i="1"/>
  <c r="D188" i="1"/>
  <c r="E189" i="1" s="1"/>
  <c r="G188" i="1"/>
  <c r="C189" i="1"/>
  <c r="D189" i="1"/>
  <c r="G189" i="1"/>
  <c r="C190" i="1"/>
  <c r="D190" i="1"/>
  <c r="E190" i="1"/>
  <c r="G190" i="1"/>
  <c r="C191" i="1"/>
  <c r="D191" i="1"/>
  <c r="G191" i="1"/>
  <c r="C192" i="1"/>
  <c r="D192" i="1"/>
  <c r="G192" i="1"/>
  <c r="C193" i="1"/>
  <c r="D193" i="1"/>
  <c r="E193" i="1" s="1"/>
  <c r="G193" i="1"/>
  <c r="C194" i="1"/>
  <c r="D194" i="1"/>
  <c r="E194" i="1"/>
  <c r="G194" i="1"/>
  <c r="C195" i="1"/>
  <c r="D195" i="1"/>
  <c r="G195" i="1"/>
  <c r="C196" i="1"/>
  <c r="D196" i="1"/>
  <c r="E197" i="1" s="1"/>
  <c r="G196" i="1"/>
  <c r="C197" i="1"/>
  <c r="D197" i="1"/>
  <c r="G197" i="1"/>
  <c r="C198" i="1"/>
  <c r="D198" i="1"/>
  <c r="E198" i="1"/>
  <c r="G198" i="1"/>
  <c r="C199" i="1"/>
  <c r="D199" i="1"/>
  <c r="E199" i="1" s="1"/>
  <c r="G199" i="1"/>
  <c r="C200" i="1"/>
  <c r="D200" i="1"/>
  <c r="G200" i="1"/>
  <c r="C201" i="1"/>
  <c r="D201" i="1"/>
  <c r="E201" i="1"/>
  <c r="G201" i="1"/>
  <c r="C202" i="1"/>
  <c r="D202" i="1"/>
  <c r="E202" i="1" s="1"/>
  <c r="G202" i="1"/>
  <c r="C203" i="1"/>
  <c r="D203" i="1"/>
  <c r="G203" i="1"/>
  <c r="C204" i="1"/>
  <c r="D204" i="1"/>
  <c r="G204" i="1"/>
  <c r="C205" i="1"/>
  <c r="D205" i="1"/>
  <c r="E205" i="1" s="1"/>
  <c r="G205" i="1"/>
  <c r="C206" i="1"/>
  <c r="D206" i="1"/>
  <c r="E206" i="1" s="1"/>
  <c r="C207" i="1"/>
  <c r="D207" i="1"/>
  <c r="E207" i="1" s="1"/>
  <c r="J100" i="1" l="1"/>
  <c r="J103" i="1" s="1"/>
  <c r="J106" i="1" s="1"/>
  <c r="J109" i="1" s="1"/>
  <c r="J112" i="1" s="1"/>
  <c r="J115" i="1" s="1"/>
  <c r="J118" i="1" s="1"/>
  <c r="J121" i="1" s="1"/>
  <c r="J124" i="1" s="1"/>
  <c r="J127" i="1" s="1"/>
  <c r="J130" i="1" s="1"/>
  <c r="J133" i="1" s="1"/>
  <c r="J136" i="1" s="1"/>
  <c r="J139" i="1" s="1"/>
  <c r="J142" i="1" s="1"/>
  <c r="J145" i="1" s="1"/>
  <c r="J148" i="1" s="1"/>
  <c r="J151" i="1" s="1"/>
  <c r="J154" i="1" s="1"/>
  <c r="J157" i="1" s="1"/>
  <c r="J160" i="1" s="1"/>
  <c r="J163" i="1" s="1"/>
  <c r="J166" i="1" s="1"/>
  <c r="J169" i="1" s="1"/>
  <c r="J172" i="1" s="1"/>
  <c r="J175" i="1" s="1"/>
  <c r="J178" i="1" s="1"/>
  <c r="J181" i="1" s="1"/>
  <c r="J184" i="1" s="1"/>
  <c r="J187" i="1" s="1"/>
  <c r="J190" i="1" s="1"/>
  <c r="J193" i="1" s="1"/>
  <c r="J196" i="1" s="1"/>
  <c r="J199" i="1" s="1"/>
  <c r="J202" i="1" s="1"/>
  <c r="J205" i="1" s="1"/>
  <c r="E186" i="1"/>
  <c r="E107" i="1"/>
  <c r="E127" i="1"/>
  <c r="E83" i="1"/>
  <c r="E106" i="1"/>
  <c r="E90" i="1"/>
  <c r="E164" i="1"/>
  <c r="E120" i="1"/>
  <c r="E113" i="1"/>
  <c r="E203" i="1"/>
  <c r="E174" i="1"/>
  <c r="E158" i="1"/>
  <c r="E72" i="1"/>
  <c r="E67" i="1"/>
  <c r="E62" i="1"/>
  <c r="E163" i="1"/>
  <c r="E88" i="1"/>
  <c r="E179" i="1"/>
  <c r="E168" i="1"/>
  <c r="E157" i="1"/>
  <c r="E66" i="1"/>
  <c r="E51" i="1"/>
  <c r="E47" i="1"/>
  <c r="E43" i="1"/>
  <c r="E39" i="1"/>
  <c r="E35" i="1"/>
  <c r="E31" i="1"/>
  <c r="E27" i="1"/>
  <c r="E23" i="1"/>
  <c r="E19" i="1"/>
  <c r="E15" i="1"/>
  <c r="E11" i="1"/>
  <c r="E7" i="1"/>
  <c r="E102" i="1"/>
  <c r="E94" i="1"/>
  <c r="E86" i="1"/>
  <c r="E149" i="1"/>
  <c r="E135" i="1"/>
  <c r="E129" i="1"/>
  <c r="E109" i="1"/>
  <c r="E80" i="1"/>
  <c r="E75" i="1"/>
  <c r="E70" i="1"/>
  <c r="E60" i="1"/>
  <c r="E55" i="1"/>
  <c r="E182" i="1"/>
  <c r="E123" i="1"/>
  <c r="E93" i="1"/>
  <c r="E156" i="1"/>
  <c r="E98" i="1"/>
  <c r="E95" i="1"/>
  <c r="E101" i="1"/>
  <c r="E162" i="1"/>
  <c r="E187" i="1"/>
  <c r="E167" i="1"/>
  <c r="E172" i="1"/>
  <c r="E125" i="1"/>
  <c r="E118" i="1"/>
  <c r="E84" i="1"/>
  <c r="E177" i="1"/>
  <c r="E161" i="1"/>
  <c r="E144" i="1"/>
  <c r="E111" i="1"/>
  <c r="E97" i="1"/>
  <c r="E191" i="1"/>
  <c r="E155" i="1"/>
  <c r="E130" i="1"/>
  <c r="E104" i="1"/>
  <c r="E166" i="1"/>
  <c r="E87" i="1"/>
  <c r="E195" i="1"/>
  <c r="E171" i="1"/>
  <c r="E154" i="1"/>
  <c r="E124" i="1"/>
  <c r="E110" i="1"/>
  <c r="E103" i="1"/>
  <c r="E99" i="1"/>
  <c r="E92" i="1"/>
  <c r="E91" i="1"/>
  <c r="E112" i="1"/>
  <c r="E96" i="1"/>
  <c r="E151" i="1"/>
  <c r="E147" i="1"/>
  <c r="E196" i="1"/>
  <c r="E180" i="1"/>
  <c r="E134" i="1"/>
  <c r="E200" i="1"/>
  <c r="E184" i="1"/>
  <c r="E138" i="1"/>
  <c r="E105" i="1"/>
  <c r="E188" i="1"/>
  <c r="E204" i="1"/>
  <c r="E192" i="1"/>
</calcChain>
</file>

<file path=xl/sharedStrings.xml><?xml version="1.0" encoding="utf-8"?>
<sst xmlns="http://schemas.openxmlformats.org/spreadsheetml/2006/main" count="9" uniqueCount="8">
  <si>
    <t>Bu</t>
  </si>
  <si>
    <t>Np</t>
  </si>
  <si>
    <t>fr</t>
  </si>
  <si>
    <t>t</t>
  </si>
  <si>
    <t>alpha</t>
  </si>
  <si>
    <t>v</t>
  </si>
  <si>
    <t>bpredicted</t>
  </si>
  <si>
    <t xml:space="preserve">Npbased on bPred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</si>
</sst>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Sheet1!$G$1</c:f>
              <c:strCache>
                <c:ptCount val="1"/>
                <c:pt idx="0">
                  <c:v>Np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Sheet1!$A$2:$A$207</c:f>
              <c:numCache>
                <c:formatCode>General</c:formatCode>
                <c:ptCount val="20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82.347504619999995</c:v>
                </c:pt>
                <c:pt idx="83">
                  <c:v>83</c:v>
                </c:pt>
                <c:pt idx="84">
                  <c:v>84</c:v>
                </c:pt>
                <c:pt idx="85">
                  <c:v>85.582255079999996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90.110905729999999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96.256931609999995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102.7264325</c:v>
                </c:pt>
                <c:pt idx="103">
                  <c:v>103.0499076</c:v>
                </c:pt>
                <c:pt idx="104">
                  <c:v>103.6968577</c:v>
                </c:pt>
                <c:pt idx="105">
                  <c:v>104.99075790000001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109.5194085</c:v>
                </c:pt>
                <c:pt idx="111">
                  <c:v>110.81330869999999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116.31238449999999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126.663586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137.01478739999999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148.98336409999999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153.18853970000001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174.53789280000001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203.00369689999999</c:v>
                </c:pt>
                <c:pt idx="205">
                  <c:v>204</c:v>
                </c:pt>
              </c:numCache>
            </c:numRef>
          </c:xVal>
          <c:yVal>
            <c:numRef>
              <c:f>Sheet1!$G$2:$G$207</c:f>
              <c:numCache>
                <c:formatCode>General</c:formatCode>
                <c:ptCount val="20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0.27973200100000001</c:v>
                </c:pt>
                <c:pt idx="83">
                  <c:v>0</c:v>
                </c:pt>
                <c:pt idx="84">
                  <c:v>0</c:v>
                </c:pt>
                <c:pt idx="85">
                  <c:v>0.31596679300000002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0.47913882800000002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0.50929475700000004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0.58579456799999996</c:v>
                </c:pt>
                <c:pt idx="103">
                  <c:v>0.51526187599999995</c:v>
                </c:pt>
                <c:pt idx="104">
                  <c:v>0.63213100099999997</c:v>
                </c:pt>
                <c:pt idx="105">
                  <c:v>0.45277101400000003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0.31367604500000001</c:v>
                </c:pt>
                <c:pt idx="111">
                  <c:v>0.43053772099999998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0.34180941199999998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0.43035520599999999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0.31134432499999998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0.24672288000000001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0.17211526399999999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4.6932399999999999E-2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2.0408144E-2</c:v>
                </c:pt>
                <c:pt idx="20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F9-4641-A04A-40F53BEC2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925823"/>
        <c:axId val="209067295"/>
      </c:scatterChart>
      <c:valAx>
        <c:axId val="18669258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67295"/>
        <c:crosses val="autoZero"/>
        <c:crossBetween val="midCat"/>
      </c:valAx>
      <c:valAx>
        <c:axId val="209067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9258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3259011373578298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v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Sheet1!$A$2:$A$207</c:f>
              <c:numCache>
                <c:formatCode>General</c:formatCode>
                <c:ptCount val="20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82.347504619999995</c:v>
                </c:pt>
                <c:pt idx="83">
                  <c:v>83</c:v>
                </c:pt>
                <c:pt idx="84">
                  <c:v>84</c:v>
                </c:pt>
                <c:pt idx="85">
                  <c:v>85.582255079999996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90.110905729999999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96.256931609999995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102.7264325</c:v>
                </c:pt>
                <c:pt idx="103">
                  <c:v>103.0499076</c:v>
                </c:pt>
                <c:pt idx="104">
                  <c:v>103.6968577</c:v>
                </c:pt>
                <c:pt idx="105">
                  <c:v>104.99075790000001</c:v>
                </c:pt>
                <c:pt idx="106">
                  <c:v>105</c:v>
                </c:pt>
                <c:pt idx="107">
                  <c:v>106</c:v>
                </c:pt>
                <c:pt idx="108">
                  <c:v>107</c:v>
                </c:pt>
                <c:pt idx="109">
                  <c:v>108</c:v>
                </c:pt>
                <c:pt idx="110">
                  <c:v>109.5194085</c:v>
                </c:pt>
                <c:pt idx="111">
                  <c:v>110.81330869999999</c:v>
                </c:pt>
                <c:pt idx="112">
                  <c:v>111</c:v>
                </c:pt>
                <c:pt idx="113">
                  <c:v>112</c:v>
                </c:pt>
                <c:pt idx="114">
                  <c:v>113</c:v>
                </c:pt>
                <c:pt idx="115">
                  <c:v>114</c:v>
                </c:pt>
                <c:pt idx="116">
                  <c:v>115</c:v>
                </c:pt>
                <c:pt idx="117">
                  <c:v>116.31238449999999</c:v>
                </c:pt>
                <c:pt idx="118">
                  <c:v>117</c:v>
                </c:pt>
                <c:pt idx="119">
                  <c:v>118</c:v>
                </c:pt>
                <c:pt idx="120">
                  <c:v>119</c:v>
                </c:pt>
                <c:pt idx="121">
                  <c:v>120</c:v>
                </c:pt>
                <c:pt idx="122">
                  <c:v>121</c:v>
                </c:pt>
                <c:pt idx="123">
                  <c:v>122</c:v>
                </c:pt>
                <c:pt idx="124">
                  <c:v>123</c:v>
                </c:pt>
                <c:pt idx="125">
                  <c:v>124</c:v>
                </c:pt>
                <c:pt idx="126">
                  <c:v>125</c:v>
                </c:pt>
                <c:pt idx="127">
                  <c:v>126.663586</c:v>
                </c:pt>
                <c:pt idx="128">
                  <c:v>127</c:v>
                </c:pt>
                <c:pt idx="129">
                  <c:v>128</c:v>
                </c:pt>
                <c:pt idx="130">
                  <c:v>129</c:v>
                </c:pt>
                <c:pt idx="131">
                  <c:v>130</c:v>
                </c:pt>
                <c:pt idx="132">
                  <c:v>131</c:v>
                </c:pt>
                <c:pt idx="133">
                  <c:v>132</c:v>
                </c:pt>
                <c:pt idx="134">
                  <c:v>133</c:v>
                </c:pt>
                <c:pt idx="135">
                  <c:v>134</c:v>
                </c:pt>
                <c:pt idx="136">
                  <c:v>135</c:v>
                </c:pt>
                <c:pt idx="137">
                  <c:v>136</c:v>
                </c:pt>
                <c:pt idx="138">
                  <c:v>137.01478739999999</c:v>
                </c:pt>
                <c:pt idx="139">
                  <c:v>138</c:v>
                </c:pt>
                <c:pt idx="140">
                  <c:v>139</c:v>
                </c:pt>
                <c:pt idx="141">
                  <c:v>140</c:v>
                </c:pt>
                <c:pt idx="142">
                  <c:v>141</c:v>
                </c:pt>
                <c:pt idx="143">
                  <c:v>142</c:v>
                </c:pt>
                <c:pt idx="144">
                  <c:v>143</c:v>
                </c:pt>
                <c:pt idx="145">
                  <c:v>144</c:v>
                </c:pt>
                <c:pt idx="146">
                  <c:v>145</c:v>
                </c:pt>
                <c:pt idx="147">
                  <c:v>146</c:v>
                </c:pt>
                <c:pt idx="148">
                  <c:v>147</c:v>
                </c:pt>
                <c:pt idx="149">
                  <c:v>148.98336409999999</c:v>
                </c:pt>
                <c:pt idx="150">
                  <c:v>149</c:v>
                </c:pt>
                <c:pt idx="151">
                  <c:v>150</c:v>
                </c:pt>
                <c:pt idx="152">
                  <c:v>151</c:v>
                </c:pt>
                <c:pt idx="153">
                  <c:v>152</c:v>
                </c:pt>
                <c:pt idx="154">
                  <c:v>153.18853970000001</c:v>
                </c:pt>
                <c:pt idx="155">
                  <c:v>154</c:v>
                </c:pt>
                <c:pt idx="156">
                  <c:v>155</c:v>
                </c:pt>
                <c:pt idx="157">
                  <c:v>156</c:v>
                </c:pt>
                <c:pt idx="158">
                  <c:v>157</c:v>
                </c:pt>
                <c:pt idx="159">
                  <c:v>158</c:v>
                </c:pt>
                <c:pt idx="160">
                  <c:v>159</c:v>
                </c:pt>
                <c:pt idx="161">
                  <c:v>160</c:v>
                </c:pt>
                <c:pt idx="162">
                  <c:v>161</c:v>
                </c:pt>
                <c:pt idx="163">
                  <c:v>162</c:v>
                </c:pt>
                <c:pt idx="164">
                  <c:v>163</c:v>
                </c:pt>
                <c:pt idx="165">
                  <c:v>164</c:v>
                </c:pt>
                <c:pt idx="166">
                  <c:v>165</c:v>
                </c:pt>
                <c:pt idx="167">
                  <c:v>166</c:v>
                </c:pt>
                <c:pt idx="168">
                  <c:v>167</c:v>
                </c:pt>
                <c:pt idx="169">
                  <c:v>168</c:v>
                </c:pt>
                <c:pt idx="170">
                  <c:v>169</c:v>
                </c:pt>
                <c:pt idx="171">
                  <c:v>170</c:v>
                </c:pt>
                <c:pt idx="172">
                  <c:v>171</c:v>
                </c:pt>
                <c:pt idx="173">
                  <c:v>172</c:v>
                </c:pt>
                <c:pt idx="174">
                  <c:v>173</c:v>
                </c:pt>
                <c:pt idx="175">
                  <c:v>174.53789280000001</c:v>
                </c:pt>
                <c:pt idx="176">
                  <c:v>175</c:v>
                </c:pt>
                <c:pt idx="177">
                  <c:v>176</c:v>
                </c:pt>
                <c:pt idx="178">
                  <c:v>177</c:v>
                </c:pt>
                <c:pt idx="179">
                  <c:v>178</c:v>
                </c:pt>
                <c:pt idx="180">
                  <c:v>179</c:v>
                </c:pt>
                <c:pt idx="181">
                  <c:v>180</c:v>
                </c:pt>
                <c:pt idx="182">
                  <c:v>181</c:v>
                </c:pt>
                <c:pt idx="183">
                  <c:v>182</c:v>
                </c:pt>
                <c:pt idx="184">
                  <c:v>183</c:v>
                </c:pt>
                <c:pt idx="185">
                  <c:v>184</c:v>
                </c:pt>
                <c:pt idx="186">
                  <c:v>185</c:v>
                </c:pt>
                <c:pt idx="187">
                  <c:v>186</c:v>
                </c:pt>
                <c:pt idx="188">
                  <c:v>187</c:v>
                </c:pt>
                <c:pt idx="189">
                  <c:v>188</c:v>
                </c:pt>
                <c:pt idx="190">
                  <c:v>189</c:v>
                </c:pt>
                <c:pt idx="191">
                  <c:v>190</c:v>
                </c:pt>
                <c:pt idx="192">
                  <c:v>191</c:v>
                </c:pt>
                <c:pt idx="193">
                  <c:v>192</c:v>
                </c:pt>
                <c:pt idx="194">
                  <c:v>193</c:v>
                </c:pt>
                <c:pt idx="195">
                  <c:v>194</c:v>
                </c:pt>
                <c:pt idx="196">
                  <c:v>195</c:v>
                </c:pt>
                <c:pt idx="197">
                  <c:v>196</c:v>
                </c:pt>
                <c:pt idx="198">
                  <c:v>197</c:v>
                </c:pt>
                <c:pt idx="199">
                  <c:v>198</c:v>
                </c:pt>
                <c:pt idx="200">
                  <c:v>199</c:v>
                </c:pt>
                <c:pt idx="201">
                  <c:v>200</c:v>
                </c:pt>
                <c:pt idx="202">
                  <c:v>201</c:v>
                </c:pt>
                <c:pt idx="203">
                  <c:v>202</c:v>
                </c:pt>
                <c:pt idx="204">
                  <c:v>203.00369689999999</c:v>
                </c:pt>
                <c:pt idx="205">
                  <c:v>204</c:v>
                </c:pt>
              </c:numCache>
            </c:numRef>
          </c:xVal>
          <c:yVal>
            <c:numRef>
              <c:f>Sheet1!$E$2:$E$207</c:f>
              <c:numCache>
                <c:formatCode>General</c:formatCode>
                <c:ptCount val="206"/>
                <c:pt idx="0">
                  <c:v>0</c:v>
                </c:pt>
                <c:pt idx="1">
                  <c:v>138499980817.38589</c:v>
                </c:pt>
                <c:pt idx="2">
                  <c:v>1273711199900.6067</c:v>
                </c:pt>
                <c:pt idx="3">
                  <c:v>4080712831699.9731</c:v>
                </c:pt>
                <c:pt idx="4">
                  <c:v>8906479123382.8262</c:v>
                </c:pt>
                <c:pt idx="5">
                  <c:v>16008472585926.637</c:v>
                </c:pt>
                <c:pt idx="6">
                  <c:v>25597812460365.078</c:v>
                </c:pt>
                <c:pt idx="7">
                  <c:v>37855801085950.883</c:v>
                </c:pt>
                <c:pt idx="8">
                  <c:v>52942367699038.148</c:v>
                </c:pt>
                <c:pt idx="9">
                  <c:v>71001005650217.5</c:v>
                </c:pt>
                <c:pt idx="10">
                  <c:v>92161895955955.594</c:v>
                </c:pt>
                <c:pt idx="11">
                  <c:v>116543981334260.58</c:v>
                </c:pt>
                <c:pt idx="12">
                  <c:v>144256382414109.66</c:v>
                </c:pt>
                <c:pt idx="13">
                  <c:v>175399375893503.53</c:v>
                </c:pt>
                <c:pt idx="14">
                  <c:v>210065066698850.16</c:v>
                </c:pt>
                <c:pt idx="15">
                  <c:v>248337837933820.81</c:v>
                </c:pt>
                <c:pt idx="16">
                  <c:v>290294634217147.5</c:v>
                </c:pt>
                <c:pt idx="17">
                  <c:v>336005116753246.31</c:v>
                </c:pt>
                <c:pt idx="18">
                  <c:v>385531717486953.25</c:v>
                </c:pt>
                <c:pt idx="19">
                  <c:v>438929612468941.25</c:v>
                </c:pt>
                <c:pt idx="20">
                  <c:v>496246629683394.5</c:v>
                </c:pt>
                <c:pt idx="21">
                  <c:v>557523103218327</c:v>
                </c:pt>
                <c:pt idx="22">
                  <c:v>622791683302759.13</c:v>
                </c:pt>
                <c:pt idx="23">
                  <c:v>692077110047872.88</c:v>
                </c:pt>
                <c:pt idx="24">
                  <c:v>765395957526504.63</c:v>
                </c:pt>
                <c:pt idx="25">
                  <c:v>842756353949591.88</c:v>
                </c:pt>
                <c:pt idx="26">
                  <c:v>924157683070248</c:v>
                </c:pt>
                <c:pt idx="27">
                  <c:v>1009590271488336.5</c:v>
                </c:pt>
                <c:pt idx="28">
                  <c:v>1099035066206954.8</c:v>
                </c:pt>
                <c:pt idx="29">
                  <c:v>1192463306561531</c:v>
                </c:pt>
                <c:pt idx="30">
                  <c:v>1289836194487803.5</c:v>
                </c:pt>
                <c:pt idx="31">
                  <c:v>1391104566990542</c:v>
                </c:pt>
                <c:pt idx="32">
                  <c:v>1496208574612190</c:v>
                </c:pt>
                <c:pt idx="33">
                  <c:v>1605077369664642.5</c:v>
                </c:pt>
                <c:pt idx="34">
                  <c:v>1717628807970550.5</c:v>
                </c:pt>
                <c:pt idx="35">
                  <c:v>1833769167855214.8</c:v>
                </c:pt>
                <c:pt idx="36">
                  <c:v>1953392890131744.3</c:v>
                </c:pt>
                <c:pt idx="37">
                  <c:v>2076382342822647</c:v>
                </c:pt>
                <c:pt idx="38">
                  <c:v>2202607614356588.8</c:v>
                </c:pt>
                <c:pt idx="39">
                  <c:v>2331926338970613.5</c:v>
                </c:pt>
                <c:pt idx="40">
                  <c:v>2464183558021138</c:v>
                </c:pt>
                <c:pt idx="41">
                  <c:v>2599211620871178</c:v>
                </c:pt>
                <c:pt idx="42">
                  <c:v>2736830128963141.5</c:v>
                </c:pt>
                <c:pt idx="43">
                  <c:v>2876845926609916.5</c:v>
                </c:pt>
                <c:pt idx="44">
                  <c:v>3019053141933736.5</c:v>
                </c:pt>
                <c:pt idx="45">
                  <c:v>3163233281258670.5</c:v>
                </c:pt>
                <c:pt idx="46">
                  <c:v>3309155380104900</c:v>
                </c:pt>
                <c:pt idx="47">
                  <c:v>3456576213750895</c:v>
                </c:pt>
                <c:pt idx="48">
                  <c:v>3605240570113355</c:v>
                </c:pt>
                <c:pt idx="49">
                  <c:v>3754881587445691</c:v>
                </c:pt>
                <c:pt idx="50">
                  <c:v>3905221159082206</c:v>
                </c:pt>
                <c:pt idx="51">
                  <c:v>4055970407124520.5</c:v>
                </c:pt>
                <c:pt idx="52">
                  <c:v>4206830226640312.5</c:v>
                </c:pt>
                <c:pt idx="53">
                  <c:v>4357491901538335</c:v>
                </c:pt>
                <c:pt idx="54">
                  <c:v>4507637792883823</c:v>
                </c:pt>
                <c:pt idx="55">
                  <c:v>4656942099959871</c:v>
                </c:pt>
                <c:pt idx="56">
                  <c:v>4805071693900431</c:v>
                </c:pt>
                <c:pt idx="57">
                  <c:v>4951687023216689</c:v>
                </c:pt>
                <c:pt idx="58">
                  <c:v>5096443089987857</c:v>
                </c:pt>
                <c:pt idx="59">
                  <c:v>5238990494938089</c:v>
                </c:pt>
                <c:pt idx="60">
                  <c:v>5378976549028192</c:v>
                </c:pt>
                <c:pt idx="61">
                  <c:v>5516046448596990</c:v>
                </c:pt>
                <c:pt idx="62">
                  <c:v>5649844510456414</c:v>
                </c:pt>
                <c:pt idx="63">
                  <c:v>5780015462750865</c:v>
                </c:pt>
                <c:pt idx="64">
                  <c:v>5906205786725016</c:v>
                </c:pt>
                <c:pt idx="65">
                  <c:v>6028065103952762</c:v>
                </c:pt>
                <c:pt idx="66">
                  <c:v>6145247602945270</c:v>
                </c:pt>
                <c:pt idx="67">
                  <c:v>6257413498456543</c:v>
                </c:pt>
                <c:pt idx="68">
                  <c:v>6364230516222424</c:v>
                </c:pt>
                <c:pt idx="69">
                  <c:v>6465375395320216</c:v>
                </c:pt>
                <c:pt idx="70">
                  <c:v>6560535399808554</c:v>
                </c:pt>
                <c:pt idx="71">
                  <c:v>6649409830833897</c:v>
                </c:pt>
                <c:pt idx="72">
                  <c:v>6731711529965823</c:v>
                </c:pt>
                <c:pt idx="73">
                  <c:v>6807168364140026</c:v>
                </c:pt>
                <c:pt idx="74">
                  <c:v>6875524682299738</c:v>
                </c:pt>
                <c:pt idx="75">
                  <c:v>6936542733553985</c:v>
                </c:pt>
                <c:pt idx="76">
                  <c:v>6990004036563802</c:v>
                </c:pt>
                <c:pt idx="77">
                  <c:v>7035710689707597</c:v>
                </c:pt>
                <c:pt idx="78">
                  <c:v>7073486611681223</c:v>
                </c:pt>
                <c:pt idx="79">
                  <c:v>7103178702199398</c:v>
                </c:pt>
                <c:pt idx="80">
                  <c:v>7124657912715826</c:v>
                </c:pt>
                <c:pt idx="81">
                  <c:v>7137820217360757</c:v>
                </c:pt>
                <c:pt idx="82">
                  <c:v>7142268130128887</c:v>
                </c:pt>
                <c:pt idx="83">
                  <c:v>7137608151795342</c:v>
                </c:pt>
                <c:pt idx="84">
                  <c:v>7126758038924819</c:v>
                </c:pt>
                <c:pt idx="85">
                  <c:v>7098022936856456</c:v>
                </c:pt>
                <c:pt idx="86">
                  <c:v>7067338814640675</c:v>
                </c:pt>
                <c:pt idx="87">
                  <c:v>7039657820989309</c:v>
                </c:pt>
                <c:pt idx="88">
                  <c:v>6993940510022112</c:v>
                </c:pt>
                <c:pt idx="89">
                  <c:v>6940051572810024</c:v>
                </c:pt>
                <c:pt idx="90">
                  <c:v>6874393653657535</c:v>
                </c:pt>
                <c:pt idx="91">
                  <c:v>6804334933405759</c:v>
                </c:pt>
                <c:pt idx="92">
                  <c:v>6730934252175191</c:v>
                </c:pt>
                <c:pt idx="93">
                  <c:v>6646073031177924</c:v>
                </c:pt>
                <c:pt idx="94">
                  <c:v>6554029646993920</c:v>
                </c:pt>
                <c:pt idx="95">
                  <c:v>6455078346540688</c:v>
                </c:pt>
                <c:pt idx="96">
                  <c:v>6335341211938815</c:v>
                </c:pt>
                <c:pt idx="97">
                  <c:v>6222964616724056</c:v>
                </c:pt>
                <c:pt idx="98">
                  <c:v>6119855977463451</c:v>
                </c:pt>
                <c:pt idx="99">
                  <c:v>5996454166577903</c:v>
                </c:pt>
                <c:pt idx="100">
                  <c:v>5867831521331968</c:v>
                </c:pt>
                <c:pt idx="101">
                  <c:v>5734377423646742</c:v>
                </c:pt>
                <c:pt idx="102">
                  <c:v>5545077970684054</c:v>
                </c:pt>
                <c:pt idx="103">
                  <c:v>5398651394740851</c:v>
                </c:pt>
                <c:pt idx="104">
                  <c:v>5327787915069332</c:v>
                </c:pt>
                <c:pt idx="105">
                  <c:v>5183780445720260</c:v>
                </c:pt>
                <c:pt idx="106">
                  <c:v>5085875489625646</c:v>
                </c:pt>
                <c:pt idx="107">
                  <c:v>5009065188725292</c:v>
                </c:pt>
                <c:pt idx="108">
                  <c:v>4855388569765140</c:v>
                </c:pt>
                <c:pt idx="109">
                  <c:v>4699856752835074</c:v>
                </c:pt>
                <c:pt idx="110">
                  <c:v>4501917592611644</c:v>
                </c:pt>
                <c:pt idx="111">
                  <c:v>4279375364109267.5</c:v>
                </c:pt>
                <c:pt idx="112">
                  <c:v>4161943019685881.5</c:v>
                </c:pt>
                <c:pt idx="113">
                  <c:v>4067817879184809.5</c:v>
                </c:pt>
                <c:pt idx="114">
                  <c:v>3909435272485440</c:v>
                </c:pt>
                <c:pt idx="115">
                  <c:v>3751712443086363.5</c:v>
                </c:pt>
                <c:pt idx="116">
                  <c:v>3595032161354483.5</c:v>
                </c:pt>
                <c:pt idx="117">
                  <c:v>3415715146400570.5</c:v>
                </c:pt>
                <c:pt idx="118">
                  <c:v>3262410225132204.5</c:v>
                </c:pt>
                <c:pt idx="119">
                  <c:v>3134839016519453</c:v>
                </c:pt>
                <c:pt idx="120">
                  <c:v>2985833041376950.5</c:v>
                </c:pt>
                <c:pt idx="121">
                  <c:v>2839529110373051.5</c:v>
                </c:pt>
                <c:pt idx="122">
                  <c:v>2696199751131389.5</c:v>
                </c:pt>
                <c:pt idx="123">
                  <c:v>2556095584959450</c:v>
                </c:pt>
                <c:pt idx="124">
                  <c:v>2419444744060528</c:v>
                </c:pt>
                <c:pt idx="125">
                  <c:v>2286452454191678.5</c:v>
                </c:pt>
                <c:pt idx="126">
                  <c:v>2157300782053062</c:v>
                </c:pt>
                <c:pt idx="127">
                  <c:v>1991839102581703.8</c:v>
                </c:pt>
                <c:pt idx="128">
                  <c:v>1871754089316647.5</c:v>
                </c:pt>
                <c:pt idx="129">
                  <c:v>1794361965964330.5</c:v>
                </c:pt>
                <c:pt idx="130">
                  <c:v>1681930390691088.8</c:v>
                </c:pt>
                <c:pt idx="131">
                  <c:v>1573904661849923</c:v>
                </c:pt>
                <c:pt idx="132">
                  <c:v>1470331343727371.3</c:v>
                </c:pt>
                <c:pt idx="133">
                  <c:v>1371236316265289.8</c:v>
                </c:pt>
                <c:pt idx="134">
                  <c:v>1276625643234386</c:v>
                </c:pt>
                <c:pt idx="135">
                  <c:v>1186486538395426</c:v>
                </c:pt>
                <c:pt idx="136">
                  <c:v>1100788417554066.1</c:v>
                </c:pt>
                <c:pt idx="137">
                  <c:v>1019484024028294.3</c:v>
                </c:pt>
                <c:pt idx="138">
                  <c:v>941962724050319.25</c:v>
                </c:pt>
                <c:pt idx="139">
                  <c:v>869264060864919.63</c:v>
                </c:pt>
                <c:pt idx="140">
                  <c:v>801235783868758.88</c:v>
                </c:pt>
                <c:pt idx="141">
                  <c:v>736742712462434.88</c:v>
                </c:pt>
                <c:pt idx="142">
                  <c:v>676199918903053.25</c:v>
                </c:pt>
                <c:pt idx="143">
                  <c:v>619486251677237</c:v>
                </c:pt>
                <c:pt idx="144">
                  <c:v>566472756308444.88</c:v>
                </c:pt>
                <c:pt idx="145">
                  <c:v>517023939440419.69</c:v>
                </c:pt>
                <c:pt idx="146">
                  <c:v>470998999985317</c:v>
                </c:pt>
                <c:pt idx="147">
                  <c:v>428253018498969.69</c:v>
                </c:pt>
                <c:pt idx="148">
                  <c:v>388638096875948.44</c:v>
                </c:pt>
                <c:pt idx="149">
                  <c:v>335376673400606.38</c:v>
                </c:pt>
                <c:pt idx="150">
                  <c:v>302464601625968.5</c:v>
                </c:pt>
                <c:pt idx="151">
                  <c:v>287078332202817</c:v>
                </c:pt>
                <c:pt idx="152">
                  <c:v>258485656830953.47</c:v>
                </c:pt>
                <c:pt idx="153">
                  <c:v>232275493724065.63</c:v>
                </c:pt>
                <c:pt idx="154">
                  <c:v>206188568695605.22</c:v>
                </c:pt>
                <c:pt idx="155">
                  <c:v>184437336226102.53</c:v>
                </c:pt>
                <c:pt idx="156">
                  <c:v>166502771402399.22</c:v>
                </c:pt>
                <c:pt idx="157">
                  <c:v>148403348209369.41</c:v>
                </c:pt>
                <c:pt idx="158">
                  <c:v>131996534463052.48</c:v>
                </c:pt>
                <c:pt idx="159">
                  <c:v>117157746691964.88</c:v>
                </c:pt>
                <c:pt idx="160">
                  <c:v>103767695218082.16</c:v>
                </c:pt>
                <c:pt idx="161">
                  <c:v>91712601269999.813</c:v>
                </c:pt>
                <c:pt idx="162">
                  <c:v>80884351493837.328</c:v>
                </c:pt>
                <c:pt idx="163">
                  <c:v>71180594040987.094</c:v>
                </c:pt>
                <c:pt idx="164">
                  <c:v>62504780695693.539</c:v>
                </c:pt>
                <c:pt idx="165">
                  <c:v>54766159705177.398</c:v>
                </c:pt>
                <c:pt idx="166">
                  <c:v>47879724101640.43</c:v>
                </c:pt>
                <c:pt idx="167">
                  <c:v>41766120354003.18</c:v>
                </c:pt>
                <c:pt idx="168">
                  <c:v>36351522177568.984</c:v>
                </c:pt>
                <c:pt idx="169">
                  <c:v>31567474248817.008</c:v>
                </c:pt>
                <c:pt idx="170">
                  <c:v>27350710446183.426</c:v>
                </c:pt>
                <c:pt idx="171">
                  <c:v>23642951058111.539</c:v>
                </c:pt>
                <c:pt idx="172">
                  <c:v>20390683180604.441</c:v>
                </c:pt>
                <c:pt idx="173">
                  <c:v>17544928277102.301</c:v>
                </c:pt>
                <c:pt idx="174">
                  <c:v>15061000590621.543</c:v>
                </c:pt>
                <c:pt idx="175">
                  <c:v>12382193064795.65</c:v>
                </c:pt>
                <c:pt idx="176">
                  <c:v>10550874955847.545</c:v>
                </c:pt>
                <c:pt idx="177">
                  <c:v>9392504933314.3379</c:v>
                </c:pt>
                <c:pt idx="178">
                  <c:v>7986190271869.1982</c:v>
                </c:pt>
                <c:pt idx="179">
                  <c:v>6773971284568.248</c:v>
                </c:pt>
                <c:pt idx="180">
                  <c:v>5731721419710.5674</c:v>
                </c:pt>
                <c:pt idx="181">
                  <c:v>4837905128951.5469</c:v>
                </c:pt>
                <c:pt idx="182">
                  <c:v>4073358894796.0977</c:v>
                </c:pt>
                <c:pt idx="183">
                  <c:v>3421082475973.9468</c:v>
                </c:pt>
                <c:pt idx="184">
                  <c:v>2866041097226.9902</c:v>
                </c:pt>
                <c:pt idx="185">
                  <c:v>2394979089936.9106</c:v>
                </c:pt>
                <c:pt idx="186">
                  <c:v>1996245281743.4695</c:v>
                </c:pt>
                <c:pt idx="187">
                  <c:v>1659630257611.0667</c:v>
                </c:pt>
                <c:pt idx="188">
                  <c:v>1376215454707.0083</c:v>
                </c:pt>
                <c:pt idx="189">
                  <c:v>1138233916508.9128</c:v>
                </c:pt>
                <c:pt idx="190">
                  <c:v>938942418371.44678</c:v>
                </c:pt>
                <c:pt idx="191">
                  <c:v>772504579305</c:v>
                </c:pt>
                <c:pt idx="192">
                  <c:v>633884499501.30261</c:v>
                </c:pt>
                <c:pt idx="193">
                  <c:v>518750405575.91846</c:v>
                </c:pt>
                <c:pt idx="194">
                  <c:v>423387738091.03003</c:v>
                </c:pt>
                <c:pt idx="195">
                  <c:v>344621092718.26691</c:v>
                </c:pt>
                <c:pt idx="196">
                  <c:v>279744405529.13647</c:v>
                </c:pt>
                <c:pt idx="197">
                  <c:v>226458770735.68243</c:v>
                </c:pt>
                <c:pt idx="198">
                  <c:v>182817281757.508</c:v>
                </c:pt>
                <c:pt idx="199">
                  <c:v>147176300702.15649</c:v>
                </c:pt>
                <c:pt idx="200">
                  <c:v>118152577555.09734</c:v>
                </c:pt>
                <c:pt idx="201">
                  <c:v>94585667020.918869</c:v>
                </c:pt>
                <c:pt idx="202">
                  <c:v>75505117214.103027</c:v>
                </c:pt>
                <c:pt idx="203">
                  <c:v>60101935706.047272</c:v>
                </c:pt>
                <c:pt idx="204">
                  <c:v>47684129397.12616</c:v>
                </c:pt>
                <c:pt idx="205">
                  <c:v>37737054026.557816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59-41E8-945B-C8E79C4AA7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20623"/>
        <c:axId val="124718703"/>
      </c:scatterChart>
      <c:valAx>
        <c:axId val="124720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18703"/>
        <c:crosses val="autoZero"/>
        <c:crossBetween val="midCat"/>
      </c:valAx>
      <c:valAx>
        <c:axId val="124718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7206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548640</xdr:colOff>
      <xdr:row>0</xdr:row>
      <xdr:rowOff>133350</xdr:rowOff>
    </xdr:from>
    <xdr:to>
      <xdr:col>21</xdr:col>
      <xdr:colOff>243840</xdr:colOff>
      <xdr:row>15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289FD8-AC03-ED2A-2582-81C834C0A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556260</xdr:colOff>
      <xdr:row>16</xdr:row>
      <xdr:rowOff>34290</xdr:rowOff>
    </xdr:from>
    <xdr:to>
      <xdr:col>21</xdr:col>
      <xdr:colOff>251460</xdr:colOff>
      <xdr:row>31</xdr:row>
      <xdr:rowOff>34290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5B8342-6619-E5C0-DB95-E034BEAEE5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1FD88-6869-4D15-99C2-F3085C6DB205}">
  <dimension ref="A1:J207"/>
  <sheetViews>
    <sheetView tabSelected="1" zoomScale="91" workbookViewId="0">
      <selection activeCell="N5" sqref="N5"/>
    </sheetView>
  </sheetViews>
  <sheetFormatPr defaultRowHeight="14.4"/>
  <cols>
    <col min="1" max="4" width="9" bestFit="1" customWidth="1"/>
    <col min="5" max="5" width="12.88671875" bestFit="1" customWidth="1"/>
    <col min="7" max="9" width="9" bestFit="1" customWidth="1"/>
    <col min="10" max="10" width="12.109375" bestFit="1" customWidth="1"/>
  </cols>
  <sheetData>
    <row r="1" spans="1:10">
      <c r="A1" s="1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1"/>
      <c r="G1" s="1" t="s">
        <v>1</v>
      </c>
      <c r="H1" s="1" t="s">
        <v>1</v>
      </c>
      <c r="I1" s="1" t="s">
        <v>6</v>
      </c>
      <c r="J1" s="1" t="s">
        <v>7</v>
      </c>
    </row>
    <row r="2" spans="1:10">
      <c r="A2" s="1">
        <v>0</v>
      </c>
      <c r="B2" s="3">
        <v>2E+19</v>
      </c>
      <c r="C2" s="3">
        <v>0</v>
      </c>
      <c r="D2" s="2">
        <f t="shared" ref="D2:D65" si="0">1-EXP(-0.000000277*A2^3.35)</f>
        <v>0</v>
      </c>
      <c r="E2" s="2">
        <v>0</v>
      </c>
      <c r="F2" s="1"/>
      <c r="G2" s="1">
        <f t="shared" ref="G2:G33" si="1">B$2*0</f>
        <v>0</v>
      </c>
      <c r="H2" s="1">
        <v>0</v>
      </c>
      <c r="I2">
        <v>1.4E-2</v>
      </c>
      <c r="J2">
        <v>0</v>
      </c>
    </row>
    <row r="3" spans="1:10">
      <c r="A3" s="1">
        <v>1</v>
      </c>
      <c r="B3" s="3">
        <v>2E+19</v>
      </c>
      <c r="C3" s="3">
        <f>1000000*(A3*10970*24*3600)/(B3*0.000000000032)</f>
        <v>1480950</v>
      </c>
      <c r="D3" s="2">
        <f t="shared" si="0"/>
        <v>2.7699996163477181E-7</v>
      </c>
      <c r="E3" s="2">
        <f t="shared" ref="E3:E66" si="2">500000000000000000*(D3-D2)/(A3-A2)</f>
        <v>138499980817.38589</v>
      </c>
      <c r="F3" s="1"/>
      <c r="G3" s="1">
        <f t="shared" si="1"/>
        <v>0</v>
      </c>
      <c r="H3" s="1">
        <v>0</v>
      </c>
      <c r="I3">
        <v>1.4E-2</v>
      </c>
      <c r="J3">
        <v>0</v>
      </c>
    </row>
    <row r="4" spans="1:10">
      <c r="A4" s="1">
        <v>2</v>
      </c>
      <c r="B4" s="3">
        <v>2E+19</v>
      </c>
      <c r="C4" s="3">
        <f t="shared" ref="C3:C66" si="3">1000000*(A4*10970*24*3600)/(B4*0.000000000032)</f>
        <v>2961900</v>
      </c>
      <c r="D4" s="2">
        <f t="shared" si="0"/>
        <v>2.8244223614359854E-6</v>
      </c>
      <c r="E4" s="2">
        <f t="shared" si="2"/>
        <v>1273711199900.6067</v>
      </c>
      <c r="F4" s="1"/>
      <c r="G4" s="1">
        <f t="shared" si="1"/>
        <v>0</v>
      </c>
      <c r="H4" s="1">
        <v>0</v>
      </c>
      <c r="I4">
        <v>1.4E-2</v>
      </c>
      <c r="J4">
        <v>0</v>
      </c>
    </row>
    <row r="5" spans="1:10">
      <c r="A5" s="1">
        <v>3</v>
      </c>
      <c r="B5" s="3">
        <v>2E+19</v>
      </c>
      <c r="C5" s="3">
        <f t="shared" si="3"/>
        <v>4442850</v>
      </c>
      <c r="D5" s="2">
        <f t="shared" si="0"/>
        <v>1.0985848024835931E-5</v>
      </c>
      <c r="E5" s="2">
        <f t="shared" si="2"/>
        <v>4080712831699.9731</v>
      </c>
      <c r="F5" s="1"/>
      <c r="G5" s="1">
        <f t="shared" si="1"/>
        <v>0</v>
      </c>
      <c r="H5" s="1">
        <v>0</v>
      </c>
      <c r="I5">
        <v>1.4E-2</v>
      </c>
      <c r="J5">
        <v>0</v>
      </c>
    </row>
    <row r="6" spans="1:10">
      <c r="A6" s="1">
        <v>4</v>
      </c>
      <c r="B6" s="3">
        <v>2E+19</v>
      </c>
      <c r="C6" s="3">
        <f t="shared" si="3"/>
        <v>5923800</v>
      </c>
      <c r="D6" s="2">
        <f t="shared" si="0"/>
        <v>2.8798806271601585E-5</v>
      </c>
      <c r="E6" s="2">
        <f t="shared" si="2"/>
        <v>8906479123382.8262</v>
      </c>
      <c r="F6" s="1"/>
      <c r="G6" s="1">
        <f t="shared" si="1"/>
        <v>0</v>
      </c>
      <c r="H6" s="1">
        <v>0</v>
      </c>
      <c r="I6">
        <v>1.4E-2</v>
      </c>
      <c r="J6">
        <v>0</v>
      </c>
    </row>
    <row r="7" spans="1:10">
      <c r="A7" s="1">
        <v>5</v>
      </c>
      <c r="B7" s="3">
        <v>2E+19</v>
      </c>
      <c r="C7" s="3">
        <f t="shared" si="3"/>
        <v>7404750</v>
      </c>
      <c r="D7" s="2">
        <f t="shared" si="0"/>
        <v>6.0815751443454857E-5</v>
      </c>
      <c r="E7" s="2">
        <f t="shared" si="2"/>
        <v>16008472585926.637</v>
      </c>
      <c r="F7" s="1"/>
      <c r="G7" s="1">
        <f t="shared" si="1"/>
        <v>0</v>
      </c>
      <c r="H7" s="1">
        <v>0</v>
      </c>
      <c r="I7">
        <v>1.4E-2</v>
      </c>
      <c r="J7">
        <v>0</v>
      </c>
    </row>
    <row r="8" spans="1:10">
      <c r="A8" s="1">
        <v>6</v>
      </c>
      <c r="B8" s="3">
        <v>2E+19</v>
      </c>
      <c r="C8" s="3">
        <f t="shared" si="3"/>
        <v>8885700</v>
      </c>
      <c r="D8" s="2">
        <f t="shared" si="0"/>
        <v>1.1201137636418501E-4</v>
      </c>
      <c r="E8" s="2">
        <f t="shared" si="2"/>
        <v>25597812460365.078</v>
      </c>
      <c r="F8" s="1"/>
      <c r="G8" s="1">
        <f t="shared" si="1"/>
        <v>0</v>
      </c>
      <c r="H8" s="1">
        <v>0</v>
      </c>
      <c r="I8">
        <v>1.4E-2</v>
      </c>
      <c r="J8">
        <v>0</v>
      </c>
    </row>
    <row r="9" spans="1:10">
      <c r="A9" s="1">
        <v>7</v>
      </c>
      <c r="B9" s="3">
        <v>2E+19</v>
      </c>
      <c r="C9" s="3">
        <f t="shared" si="3"/>
        <v>10366650</v>
      </c>
      <c r="D9" s="2">
        <f t="shared" si="0"/>
        <v>1.8772297853608677E-4</v>
      </c>
      <c r="E9" s="2">
        <f t="shared" si="2"/>
        <v>37855801085950.883</v>
      </c>
      <c r="F9" s="1"/>
      <c r="G9" s="1">
        <f t="shared" si="1"/>
        <v>0</v>
      </c>
      <c r="H9" s="1">
        <v>0</v>
      </c>
      <c r="I9">
        <v>1.4E-2</v>
      </c>
      <c r="J9">
        <v>0</v>
      </c>
    </row>
    <row r="10" spans="1:10">
      <c r="A10" s="1">
        <v>8</v>
      </c>
      <c r="B10" s="3">
        <v>2E+19</v>
      </c>
      <c r="C10" s="3">
        <f t="shared" si="3"/>
        <v>11847600</v>
      </c>
      <c r="D10" s="2">
        <f t="shared" si="0"/>
        <v>2.9360771393416307E-4</v>
      </c>
      <c r="E10" s="2">
        <f t="shared" si="2"/>
        <v>52942367699038.148</v>
      </c>
      <c r="F10" s="1"/>
      <c r="G10" s="1">
        <f t="shared" si="1"/>
        <v>0</v>
      </c>
      <c r="H10" s="1">
        <v>0</v>
      </c>
      <c r="I10">
        <v>1.4E-2</v>
      </c>
      <c r="J10">
        <v>0</v>
      </c>
    </row>
    <row r="11" spans="1:10">
      <c r="A11" s="1">
        <v>9</v>
      </c>
      <c r="B11" s="3">
        <v>2E+19</v>
      </c>
      <c r="C11" s="3">
        <f t="shared" si="3"/>
        <v>13328550</v>
      </c>
      <c r="D11" s="2">
        <f t="shared" si="0"/>
        <v>4.3560972523459807E-4</v>
      </c>
      <c r="E11" s="2">
        <f t="shared" si="2"/>
        <v>71001005650217.5</v>
      </c>
      <c r="F11" s="1"/>
      <c r="G11" s="1">
        <f t="shared" si="1"/>
        <v>0</v>
      </c>
      <c r="H11" s="1">
        <v>0</v>
      </c>
      <c r="I11">
        <v>1.4E-2</v>
      </c>
      <c r="J11">
        <v>0</v>
      </c>
    </row>
    <row r="12" spans="1:10">
      <c r="A12" s="1">
        <v>10</v>
      </c>
      <c r="B12" s="3">
        <v>2E+19</v>
      </c>
      <c r="C12" s="3">
        <f t="shared" si="3"/>
        <v>14809500</v>
      </c>
      <c r="D12" s="2">
        <f t="shared" si="0"/>
        <v>6.1993351714650924E-4</v>
      </c>
      <c r="E12" s="2">
        <f t="shared" si="2"/>
        <v>92161895955955.594</v>
      </c>
      <c r="F12" s="1"/>
      <c r="G12" s="1">
        <f t="shared" si="1"/>
        <v>0</v>
      </c>
      <c r="H12" s="1">
        <v>0</v>
      </c>
      <c r="I12">
        <v>1.4E-2</v>
      </c>
      <c r="J12">
        <v>0</v>
      </c>
    </row>
    <row r="13" spans="1:10">
      <c r="A13" s="1">
        <v>11</v>
      </c>
      <c r="B13" s="3">
        <v>2E+19</v>
      </c>
      <c r="C13" s="3">
        <f t="shared" si="3"/>
        <v>16290450</v>
      </c>
      <c r="D13" s="2">
        <f t="shared" si="0"/>
        <v>8.530214798150304E-4</v>
      </c>
      <c r="E13" s="2">
        <f t="shared" si="2"/>
        <v>116543981334260.58</v>
      </c>
      <c r="F13" s="1"/>
      <c r="G13" s="1">
        <f t="shared" si="1"/>
        <v>0</v>
      </c>
      <c r="H13" s="1">
        <v>0</v>
      </c>
      <c r="I13">
        <v>1.4E-2</v>
      </c>
      <c r="J13">
        <v>0</v>
      </c>
    </row>
    <row r="14" spans="1:10">
      <c r="A14" s="1">
        <v>12</v>
      </c>
      <c r="B14" s="3">
        <v>2E+19</v>
      </c>
      <c r="C14" s="3">
        <f t="shared" si="3"/>
        <v>17771400</v>
      </c>
      <c r="D14" s="2">
        <f t="shared" si="0"/>
        <v>1.1415342446432497E-3</v>
      </c>
      <c r="E14" s="2">
        <f t="shared" si="2"/>
        <v>144256382414109.66</v>
      </c>
      <c r="F14" s="1"/>
      <c r="G14" s="1">
        <f t="shared" si="1"/>
        <v>0</v>
      </c>
      <c r="H14" s="1">
        <v>0</v>
      </c>
      <c r="I14">
        <v>1.4E-2</v>
      </c>
      <c r="J14">
        <v>0</v>
      </c>
    </row>
    <row r="15" spans="1:10">
      <c r="A15" s="1">
        <v>13</v>
      </c>
      <c r="B15" s="3">
        <v>2E+19</v>
      </c>
      <c r="C15" s="3">
        <f t="shared" si="3"/>
        <v>19252350</v>
      </c>
      <c r="D15" s="2">
        <f t="shared" si="0"/>
        <v>1.4923329964302567E-3</v>
      </c>
      <c r="E15" s="2">
        <f t="shared" si="2"/>
        <v>175399375893503.53</v>
      </c>
      <c r="F15" s="1"/>
      <c r="G15" s="1">
        <f t="shared" si="1"/>
        <v>0</v>
      </c>
      <c r="H15" s="1">
        <v>0</v>
      </c>
      <c r="I15">
        <v>1.4E-2</v>
      </c>
      <c r="J15">
        <v>0</v>
      </c>
    </row>
    <row r="16" spans="1:10">
      <c r="A16" s="1">
        <v>14</v>
      </c>
      <c r="B16" s="3">
        <v>2E+19</v>
      </c>
      <c r="C16" s="3">
        <f t="shared" si="3"/>
        <v>20733300</v>
      </c>
      <c r="D16" s="2">
        <f t="shared" si="0"/>
        <v>1.9124631298279571E-3</v>
      </c>
      <c r="E16" s="2">
        <f t="shared" si="2"/>
        <v>210065066698850.16</v>
      </c>
      <c r="F16" s="1"/>
      <c r="G16" s="1">
        <f t="shared" si="1"/>
        <v>0</v>
      </c>
      <c r="H16" s="1">
        <v>0</v>
      </c>
      <c r="I16">
        <v>1.4E-2</v>
      </c>
      <c r="J16">
        <v>0</v>
      </c>
    </row>
    <row r="17" spans="1:10">
      <c r="A17" s="1">
        <v>15</v>
      </c>
      <c r="B17" s="3">
        <v>2E+19</v>
      </c>
      <c r="C17" s="3">
        <f t="shared" si="3"/>
        <v>22214250</v>
      </c>
      <c r="D17" s="2">
        <f t="shared" si="0"/>
        <v>2.4091388056955987E-3</v>
      </c>
      <c r="E17" s="2">
        <f t="shared" si="2"/>
        <v>248337837933820.81</v>
      </c>
      <c r="F17" s="1"/>
      <c r="G17" s="1">
        <f t="shared" si="1"/>
        <v>0</v>
      </c>
      <c r="H17" s="1">
        <v>0</v>
      </c>
      <c r="I17">
        <v>1.4E-2</v>
      </c>
      <c r="J17">
        <v>0</v>
      </c>
    </row>
    <row r="18" spans="1:10">
      <c r="A18" s="1">
        <v>16</v>
      </c>
      <c r="B18" s="3">
        <v>2E+19</v>
      </c>
      <c r="C18" s="3">
        <f t="shared" si="3"/>
        <v>23695200</v>
      </c>
      <c r="D18" s="2">
        <f t="shared" si="0"/>
        <v>2.9897280741298937E-3</v>
      </c>
      <c r="E18" s="2">
        <f t="shared" si="2"/>
        <v>290294634217147.5</v>
      </c>
      <c r="F18" s="1"/>
      <c r="G18" s="1">
        <f t="shared" si="1"/>
        <v>0</v>
      </c>
      <c r="H18" s="1">
        <v>0</v>
      </c>
      <c r="I18">
        <v>1.4E-2</v>
      </c>
      <c r="J18">
        <v>0</v>
      </c>
    </row>
    <row r="19" spans="1:10">
      <c r="A19" s="1">
        <v>17</v>
      </c>
      <c r="B19" s="3">
        <v>2E+19</v>
      </c>
      <c r="C19" s="3">
        <f t="shared" si="3"/>
        <v>25176150</v>
      </c>
      <c r="D19" s="2">
        <f t="shared" si="0"/>
        <v>3.6617383076363863E-3</v>
      </c>
      <c r="E19" s="2">
        <f t="shared" si="2"/>
        <v>336005116753246.31</v>
      </c>
      <c r="F19" s="1"/>
      <c r="G19" s="1">
        <f t="shared" si="1"/>
        <v>0</v>
      </c>
      <c r="H19" s="1">
        <v>0</v>
      </c>
      <c r="I19">
        <v>1.4E-2</v>
      </c>
      <c r="J19">
        <v>0</v>
      </c>
    </row>
    <row r="20" spans="1:10">
      <c r="A20" s="1">
        <v>18</v>
      </c>
      <c r="B20" s="3">
        <v>2E+19</v>
      </c>
      <c r="C20" s="3">
        <f t="shared" si="3"/>
        <v>26657100</v>
      </c>
      <c r="D20" s="2">
        <f t="shared" si="0"/>
        <v>4.4328017426102928E-3</v>
      </c>
      <c r="E20" s="2">
        <f t="shared" si="2"/>
        <v>385531717486953.25</v>
      </c>
      <c r="F20" s="1"/>
      <c r="G20" s="1">
        <f t="shared" si="1"/>
        <v>0</v>
      </c>
      <c r="H20" s="1">
        <v>0</v>
      </c>
      <c r="I20">
        <v>1.4E-2</v>
      </c>
      <c r="J20">
        <v>0</v>
      </c>
    </row>
    <row r="21" spans="1:10">
      <c r="A21" s="1">
        <v>19</v>
      </c>
      <c r="B21" s="3">
        <v>2E+19</v>
      </c>
      <c r="C21" s="3">
        <f t="shared" si="3"/>
        <v>28138050</v>
      </c>
      <c r="D21" s="2">
        <f t="shared" si="0"/>
        <v>5.3106609675481753E-3</v>
      </c>
      <c r="E21" s="2">
        <f t="shared" si="2"/>
        <v>438929612468941.25</v>
      </c>
      <c r="F21" s="1"/>
      <c r="G21" s="1">
        <f t="shared" si="1"/>
        <v>0</v>
      </c>
      <c r="H21" s="1">
        <v>0</v>
      </c>
      <c r="I21">
        <v>1.4E-2</v>
      </c>
      <c r="J21">
        <v>0</v>
      </c>
    </row>
    <row r="22" spans="1:10">
      <c r="A22" s="1">
        <v>20</v>
      </c>
      <c r="B22" s="3">
        <v>2E+19</v>
      </c>
      <c r="C22" s="3">
        <f t="shared" si="3"/>
        <v>29619000</v>
      </c>
      <c r="D22" s="2">
        <f t="shared" si="0"/>
        <v>6.3031542269149643E-3</v>
      </c>
      <c r="E22" s="2">
        <f t="shared" si="2"/>
        <v>496246629683394.5</v>
      </c>
      <c r="F22" s="1"/>
      <c r="G22" s="1">
        <f t="shared" si="1"/>
        <v>0</v>
      </c>
      <c r="H22" s="1">
        <v>0</v>
      </c>
      <c r="I22">
        <v>1.4E-2</v>
      </c>
      <c r="J22">
        <v>0</v>
      </c>
    </row>
    <row r="23" spans="1:10">
      <c r="A23" s="1">
        <v>21</v>
      </c>
      <c r="B23" s="3">
        <v>2E+19</v>
      </c>
      <c r="C23" s="3">
        <f t="shared" si="3"/>
        <v>31099950</v>
      </c>
      <c r="D23" s="2">
        <f t="shared" si="0"/>
        <v>7.4182004333516183E-3</v>
      </c>
      <c r="E23" s="2">
        <f t="shared" si="2"/>
        <v>557523103218327</v>
      </c>
      <c r="F23" s="1"/>
      <c r="G23" s="1">
        <f t="shared" si="1"/>
        <v>0</v>
      </c>
      <c r="H23" s="1">
        <v>0</v>
      </c>
      <c r="I23">
        <v>1.4E-2</v>
      </c>
      <c r="J23">
        <v>0</v>
      </c>
    </row>
    <row r="24" spans="1:10">
      <c r="A24" s="1">
        <v>22</v>
      </c>
      <c r="B24" s="3">
        <v>2E+19</v>
      </c>
      <c r="C24" s="3">
        <f t="shared" si="3"/>
        <v>32580900</v>
      </c>
      <c r="D24" s="2">
        <f t="shared" si="0"/>
        <v>8.6637837999571365E-3</v>
      </c>
      <c r="E24" s="2">
        <f t="shared" si="2"/>
        <v>622791683302759.13</v>
      </c>
      <c r="F24" s="1"/>
      <c r="G24" s="1">
        <f t="shared" si="1"/>
        <v>0</v>
      </c>
      <c r="H24" s="1">
        <v>0</v>
      </c>
      <c r="I24">
        <v>1.4E-2</v>
      </c>
      <c r="J24">
        <v>0</v>
      </c>
    </row>
    <row r="25" spans="1:10">
      <c r="A25" s="1">
        <v>23</v>
      </c>
      <c r="B25" s="3">
        <v>2E+19</v>
      </c>
      <c r="C25" s="3">
        <f t="shared" si="3"/>
        <v>34061850</v>
      </c>
      <c r="D25" s="2">
        <f t="shared" si="0"/>
        <v>1.0047938020052882E-2</v>
      </c>
      <c r="E25" s="2">
        <f t="shared" si="2"/>
        <v>692077110047872.88</v>
      </c>
      <c r="F25" s="1"/>
      <c r="G25" s="1">
        <f t="shared" si="1"/>
        <v>0</v>
      </c>
      <c r="H25" s="1">
        <v>0</v>
      </c>
      <c r="I25">
        <v>1.4E-2</v>
      </c>
      <c r="J25">
        <v>0</v>
      </c>
    </row>
    <row r="26" spans="1:10">
      <c r="A26" s="1">
        <v>24</v>
      </c>
      <c r="B26" s="3">
        <v>2E+19</v>
      </c>
      <c r="C26" s="3">
        <f t="shared" si="3"/>
        <v>35542800</v>
      </c>
      <c r="D26" s="2">
        <f t="shared" si="0"/>
        <v>1.1578729935105891E-2</v>
      </c>
      <c r="E26" s="2">
        <f t="shared" si="2"/>
        <v>765395957526504.63</v>
      </c>
      <c r="F26" s="1"/>
      <c r="G26" s="1">
        <f t="shared" si="1"/>
        <v>0</v>
      </c>
      <c r="H26" s="1">
        <v>0</v>
      </c>
      <c r="I26">
        <v>1.4E-2</v>
      </c>
      <c r="J26">
        <v>0</v>
      </c>
    </row>
    <row r="27" spans="1:10">
      <c r="A27" s="1">
        <v>25</v>
      </c>
      <c r="B27" s="3">
        <v>2E+19</v>
      </c>
      <c r="C27" s="3">
        <f t="shared" si="3"/>
        <v>37023750</v>
      </c>
      <c r="D27" s="2">
        <f t="shared" si="0"/>
        <v>1.3264242643005075E-2</v>
      </c>
      <c r="E27" s="2">
        <f t="shared" si="2"/>
        <v>842756353949591.88</v>
      </c>
      <c r="F27" s="1"/>
      <c r="G27" s="1">
        <f t="shared" si="1"/>
        <v>0</v>
      </c>
      <c r="H27" s="1">
        <v>0</v>
      </c>
      <c r="I27">
        <v>1.4E-2</v>
      </c>
      <c r="J27">
        <v>0</v>
      </c>
    </row>
    <row r="28" spans="1:10">
      <c r="A28" s="1">
        <v>26</v>
      </c>
      <c r="B28" s="3">
        <v>2E+19</v>
      </c>
      <c r="C28" s="3">
        <f t="shared" si="3"/>
        <v>38504700</v>
      </c>
      <c r="D28" s="2">
        <f t="shared" si="0"/>
        <v>1.5112558009145571E-2</v>
      </c>
      <c r="E28" s="2">
        <f t="shared" si="2"/>
        <v>924157683070248</v>
      </c>
      <c r="F28" s="1"/>
      <c r="G28" s="1">
        <f t="shared" si="1"/>
        <v>0</v>
      </c>
      <c r="H28" s="1">
        <v>0</v>
      </c>
      <c r="I28">
        <v>1.4E-2</v>
      </c>
      <c r="J28">
        <v>0</v>
      </c>
    </row>
    <row r="29" spans="1:10">
      <c r="A29" s="1">
        <v>27</v>
      </c>
      <c r="B29" s="3">
        <v>2E+19</v>
      </c>
      <c r="C29" s="3">
        <f t="shared" si="3"/>
        <v>39985650</v>
      </c>
      <c r="D29" s="2">
        <f t="shared" si="0"/>
        <v>1.7131738552122244E-2</v>
      </c>
      <c r="E29" s="2">
        <f t="shared" si="2"/>
        <v>1009590271488336.5</v>
      </c>
      <c r="F29" s="1"/>
      <c r="G29" s="1">
        <f t="shared" si="1"/>
        <v>0</v>
      </c>
      <c r="H29" s="1">
        <v>0</v>
      </c>
      <c r="I29">
        <v>1.4E-2</v>
      </c>
      <c r="J29">
        <v>0</v>
      </c>
    </row>
    <row r="30" spans="1:10">
      <c r="A30" s="1">
        <v>28</v>
      </c>
      <c r="B30" s="3">
        <v>2E+19</v>
      </c>
      <c r="C30" s="3">
        <f t="shared" si="3"/>
        <v>41466600</v>
      </c>
      <c r="D30" s="2">
        <f t="shared" si="0"/>
        <v>1.9329808684536154E-2</v>
      </c>
      <c r="E30" s="2">
        <f t="shared" si="2"/>
        <v>1099035066206954.8</v>
      </c>
      <c r="F30" s="1"/>
      <c r="G30" s="1">
        <f t="shared" si="1"/>
        <v>0</v>
      </c>
      <c r="H30" s="1">
        <v>0</v>
      </c>
      <c r="I30">
        <v>1.4E-2</v>
      </c>
      <c r="J30">
        <v>0</v>
      </c>
    </row>
    <row r="31" spans="1:10">
      <c r="A31" s="1">
        <v>29</v>
      </c>
      <c r="B31" s="3">
        <v>2E+19</v>
      </c>
      <c r="C31" s="3">
        <f t="shared" si="3"/>
        <v>42947550</v>
      </c>
      <c r="D31" s="2">
        <f t="shared" si="0"/>
        <v>2.1714735297659216E-2</v>
      </c>
      <c r="E31" s="2">
        <f t="shared" si="2"/>
        <v>1192463306561531</v>
      </c>
      <c r="F31" s="1"/>
      <c r="G31" s="1">
        <f t="shared" si="1"/>
        <v>0</v>
      </c>
      <c r="H31" s="1">
        <v>0</v>
      </c>
      <c r="I31">
        <v>1.4E-2</v>
      </c>
      <c r="J31">
        <v>0</v>
      </c>
    </row>
    <row r="32" spans="1:10">
      <c r="A32" s="1">
        <v>30</v>
      </c>
      <c r="B32" s="3">
        <v>2E+19</v>
      </c>
      <c r="C32" s="3">
        <f t="shared" si="3"/>
        <v>44428500</v>
      </c>
      <c r="D32" s="2">
        <f t="shared" si="0"/>
        <v>2.4294407686634822E-2</v>
      </c>
      <c r="E32" s="2">
        <f t="shared" si="2"/>
        <v>1289836194487803.5</v>
      </c>
      <c r="F32" s="1"/>
      <c r="G32" s="1">
        <f t="shared" si="1"/>
        <v>0</v>
      </c>
      <c r="H32" s="1">
        <v>0</v>
      </c>
      <c r="I32">
        <v>1.4E-2</v>
      </c>
      <c r="J32">
        <v>0</v>
      </c>
    </row>
    <row r="33" spans="1:10">
      <c r="A33" s="1">
        <v>31</v>
      </c>
      <c r="B33" s="3">
        <v>2E+19</v>
      </c>
      <c r="C33" s="3">
        <f t="shared" si="3"/>
        <v>45909450</v>
      </c>
      <c r="D33" s="2">
        <f t="shared" si="0"/>
        <v>2.7076616820615906E-2</v>
      </c>
      <c r="E33" s="2">
        <f t="shared" si="2"/>
        <v>1391104566990542</v>
      </c>
      <c r="F33" s="1"/>
      <c r="G33" s="1">
        <f t="shared" si="1"/>
        <v>0</v>
      </c>
      <c r="H33" s="1">
        <v>0</v>
      </c>
      <c r="I33">
        <v>1.4E-2</v>
      </c>
      <c r="J33">
        <v>0</v>
      </c>
    </row>
    <row r="34" spans="1:10">
      <c r="A34" s="1">
        <v>32</v>
      </c>
      <c r="B34" s="3">
        <v>2E+19</v>
      </c>
      <c r="C34" s="3">
        <f t="shared" si="3"/>
        <v>47390400</v>
      </c>
      <c r="D34" s="2">
        <f t="shared" si="0"/>
        <v>3.0069033969840286E-2</v>
      </c>
      <c r="E34" s="2">
        <f t="shared" si="2"/>
        <v>1496208574612190</v>
      </c>
      <c r="F34" s="1"/>
      <c r="G34" s="1">
        <f t="shared" ref="G34:G52" si="4">B$2*0</f>
        <v>0</v>
      </c>
      <c r="H34" s="1">
        <v>0</v>
      </c>
      <c r="I34">
        <v>1.4E-2</v>
      </c>
      <c r="J34">
        <v>0</v>
      </c>
    </row>
    <row r="35" spans="1:10">
      <c r="A35" s="1">
        <v>33</v>
      </c>
      <c r="B35" s="3">
        <v>2E+19</v>
      </c>
      <c r="C35" s="3">
        <f t="shared" si="3"/>
        <v>48871350</v>
      </c>
      <c r="D35" s="2">
        <f t="shared" si="0"/>
        <v>3.3279188709169572E-2</v>
      </c>
      <c r="E35" s="2">
        <f t="shared" si="2"/>
        <v>1605077369664642.5</v>
      </c>
      <c r="F35" s="1"/>
      <c r="G35" s="1">
        <f t="shared" si="4"/>
        <v>0</v>
      </c>
      <c r="H35" s="1">
        <v>0</v>
      </c>
      <c r="I35">
        <v>1.4E-2</v>
      </c>
      <c r="J35">
        <v>0</v>
      </c>
    </row>
    <row r="36" spans="1:10">
      <c r="A36" s="1">
        <v>34</v>
      </c>
      <c r="B36" s="3">
        <v>2E+19</v>
      </c>
      <c r="C36" s="3">
        <f t="shared" si="3"/>
        <v>50352300</v>
      </c>
      <c r="D36" s="2">
        <f t="shared" si="0"/>
        <v>3.6714446325110672E-2</v>
      </c>
      <c r="E36" s="2">
        <f t="shared" si="2"/>
        <v>1717628807970550.5</v>
      </c>
      <c r="F36" s="1"/>
      <c r="G36" s="1">
        <f t="shared" si="4"/>
        <v>0</v>
      </c>
      <c r="H36" s="1">
        <v>0</v>
      </c>
      <c r="I36">
        <v>1.4E-2</v>
      </c>
      <c r="J36">
        <v>0</v>
      </c>
    </row>
    <row r="37" spans="1:10">
      <c r="A37" s="1">
        <v>35</v>
      </c>
      <c r="B37" s="3">
        <v>2E+19</v>
      </c>
      <c r="C37" s="3">
        <f t="shared" si="3"/>
        <v>51833250</v>
      </c>
      <c r="D37" s="2">
        <f t="shared" si="0"/>
        <v>4.0381984660821102E-2</v>
      </c>
      <c r="E37" s="2">
        <f t="shared" si="2"/>
        <v>1833769167855214.8</v>
      </c>
      <c r="F37" s="1"/>
      <c r="G37" s="1">
        <f t="shared" si="4"/>
        <v>0</v>
      </c>
      <c r="H37" s="1">
        <v>0</v>
      </c>
      <c r="I37">
        <v>1.4E-2</v>
      </c>
      <c r="J37">
        <v>0</v>
      </c>
    </row>
    <row r="38" spans="1:10">
      <c r="A38" s="1">
        <v>36</v>
      </c>
      <c r="B38" s="3">
        <v>2E+19</v>
      </c>
      <c r="C38" s="3">
        <f t="shared" si="3"/>
        <v>53314200</v>
      </c>
      <c r="D38" s="2">
        <f t="shared" si="0"/>
        <v>4.4288770441084591E-2</v>
      </c>
      <c r="E38" s="2">
        <f t="shared" si="2"/>
        <v>1953392890131744.3</v>
      </c>
      <c r="F38" s="1"/>
      <c r="G38" s="1">
        <f t="shared" si="4"/>
        <v>0</v>
      </c>
      <c r="H38" s="1">
        <v>0</v>
      </c>
      <c r="I38">
        <v>1.4E-2</v>
      </c>
      <c r="J38">
        <v>0</v>
      </c>
    </row>
    <row r="39" spans="1:10">
      <c r="A39" s="1">
        <v>37</v>
      </c>
      <c r="B39" s="3">
        <v>2E+19</v>
      </c>
      <c r="C39" s="3">
        <f t="shared" si="3"/>
        <v>54795150</v>
      </c>
      <c r="D39" s="2">
        <f t="shared" si="0"/>
        <v>4.8441535126729884E-2</v>
      </c>
      <c r="E39" s="2">
        <f t="shared" si="2"/>
        <v>2076382342822647</v>
      </c>
      <c r="F39" s="1"/>
      <c r="G39" s="1">
        <f t="shared" si="4"/>
        <v>0</v>
      </c>
      <c r="H39" s="1">
        <v>0</v>
      </c>
      <c r="I39">
        <v>1.4E-2</v>
      </c>
      <c r="J39">
        <v>0</v>
      </c>
    </row>
    <row r="40" spans="1:10">
      <c r="A40" s="1">
        <v>38</v>
      </c>
      <c r="B40" s="3">
        <v>2E+19</v>
      </c>
      <c r="C40" s="3">
        <f t="shared" si="3"/>
        <v>56276100</v>
      </c>
      <c r="D40" s="2">
        <f t="shared" si="0"/>
        <v>5.2846750355443062E-2</v>
      </c>
      <c r="E40" s="2">
        <f t="shared" si="2"/>
        <v>2202607614356588.8</v>
      </c>
      <c r="F40" s="1"/>
      <c r="G40" s="1">
        <f t="shared" si="4"/>
        <v>0</v>
      </c>
      <c r="H40" s="1">
        <v>0</v>
      </c>
      <c r="I40">
        <v>1.4E-2</v>
      </c>
      <c r="J40">
        <v>0</v>
      </c>
    </row>
    <row r="41" spans="1:10">
      <c r="A41" s="1">
        <v>39</v>
      </c>
      <c r="B41" s="3">
        <v>2E+19</v>
      </c>
      <c r="C41" s="3">
        <f t="shared" si="3"/>
        <v>57757050</v>
      </c>
      <c r="D41" s="2">
        <f t="shared" si="0"/>
        <v>5.7510603033384289E-2</v>
      </c>
      <c r="E41" s="2">
        <f t="shared" si="2"/>
        <v>2331926338970613.5</v>
      </c>
      <c r="F41" s="1"/>
      <c r="G41" s="1">
        <f t="shared" si="4"/>
        <v>0</v>
      </c>
      <c r="H41" s="1">
        <v>0</v>
      </c>
      <c r="I41">
        <v>1.4E-2</v>
      </c>
      <c r="J41">
        <v>0</v>
      </c>
    </row>
    <row r="42" spans="1:10">
      <c r="A42" s="1">
        <v>40</v>
      </c>
      <c r="B42" s="3">
        <v>2E+19</v>
      </c>
      <c r="C42" s="3">
        <f t="shared" si="3"/>
        <v>59238000</v>
      </c>
      <c r="D42" s="2">
        <f t="shared" si="0"/>
        <v>6.2438970149426565E-2</v>
      </c>
      <c r="E42" s="2">
        <f t="shared" si="2"/>
        <v>2464183558021138</v>
      </c>
      <c r="F42" s="1"/>
      <c r="G42" s="1">
        <f t="shared" si="4"/>
        <v>0</v>
      </c>
      <c r="H42" s="1">
        <v>0</v>
      </c>
      <c r="I42">
        <v>1.4E-2</v>
      </c>
      <c r="J42">
        <v>0</v>
      </c>
    </row>
    <row r="43" spans="1:10">
      <c r="A43" s="1">
        <v>41</v>
      </c>
      <c r="B43" s="3">
        <v>2E+19</v>
      </c>
      <c r="C43" s="3">
        <f t="shared" si="3"/>
        <v>60718950</v>
      </c>
      <c r="D43" s="2">
        <f t="shared" si="0"/>
        <v>6.7637393391168921E-2</v>
      </c>
      <c r="E43" s="2">
        <f t="shared" si="2"/>
        <v>2599211620871178</v>
      </c>
      <c r="F43" s="1"/>
      <c r="G43" s="1">
        <f t="shared" si="4"/>
        <v>0</v>
      </c>
      <c r="H43" s="1">
        <v>0</v>
      </c>
      <c r="I43">
        <v>1.4E-2</v>
      </c>
      <c r="J43">
        <v>0</v>
      </c>
    </row>
    <row r="44" spans="1:10">
      <c r="A44" s="1">
        <v>42</v>
      </c>
      <c r="B44" s="3">
        <v>2E+19</v>
      </c>
      <c r="C44" s="3">
        <f t="shared" si="3"/>
        <v>62199900</v>
      </c>
      <c r="D44" s="2">
        <f t="shared" si="0"/>
        <v>7.3111053649095203E-2</v>
      </c>
      <c r="E44" s="2">
        <f t="shared" si="2"/>
        <v>2736830128963141.5</v>
      </c>
      <c r="F44" s="1"/>
      <c r="G44" s="1">
        <f t="shared" si="4"/>
        <v>0</v>
      </c>
      <c r="H44" s="1">
        <v>0</v>
      </c>
      <c r="I44">
        <v>1.4E-2</v>
      </c>
      <c r="J44">
        <v>0</v>
      </c>
    </row>
    <row r="45" spans="1:10">
      <c r="A45" s="1">
        <v>43</v>
      </c>
      <c r="B45" s="3">
        <v>2E+19</v>
      </c>
      <c r="C45" s="3">
        <f t="shared" si="3"/>
        <v>63680850</v>
      </c>
      <c r="D45" s="2">
        <f t="shared" si="0"/>
        <v>7.8864745502315037E-2</v>
      </c>
      <c r="E45" s="2">
        <f t="shared" si="2"/>
        <v>2876845926609916.5</v>
      </c>
      <c r="F45" s="1"/>
      <c r="G45" s="1">
        <f t="shared" si="4"/>
        <v>0</v>
      </c>
      <c r="H45" s="1">
        <v>0</v>
      </c>
      <c r="I45">
        <v>1.4E-2</v>
      </c>
      <c r="J45">
        <v>0</v>
      </c>
    </row>
    <row r="46" spans="1:10">
      <c r="A46" s="1">
        <v>44</v>
      </c>
      <c r="B46" s="3">
        <v>2E+19</v>
      </c>
      <c r="C46" s="3">
        <f t="shared" si="3"/>
        <v>65161800</v>
      </c>
      <c r="D46" s="2">
        <f t="shared" si="0"/>
        <v>8.4902851786182509E-2</v>
      </c>
      <c r="E46" s="2">
        <f t="shared" si="2"/>
        <v>3019053141933736.5</v>
      </c>
      <c r="F46" s="1"/>
      <c r="G46" s="1">
        <f t="shared" si="4"/>
        <v>0</v>
      </c>
      <c r="H46" s="1">
        <v>0</v>
      </c>
      <c r="I46">
        <v>1.4E-2</v>
      </c>
      <c r="J46">
        <v>0</v>
      </c>
    </row>
    <row r="47" spans="1:10">
      <c r="A47" s="1">
        <v>45</v>
      </c>
      <c r="B47" s="3">
        <v>2E+19</v>
      </c>
      <c r="C47" s="3">
        <f t="shared" si="3"/>
        <v>66642750</v>
      </c>
      <c r="D47" s="2">
        <f t="shared" si="0"/>
        <v>9.122931834869985E-2</v>
      </c>
      <c r="E47" s="2">
        <f t="shared" si="2"/>
        <v>3163233281258670.5</v>
      </c>
      <c r="F47" s="1"/>
      <c r="G47" s="1">
        <f t="shared" si="4"/>
        <v>0</v>
      </c>
      <c r="H47" s="1">
        <v>0</v>
      </c>
      <c r="I47">
        <v>1.4E-2</v>
      </c>
      <c r="J47">
        <v>0</v>
      </c>
    </row>
    <row r="48" spans="1:10">
      <c r="A48" s="1">
        <v>46</v>
      </c>
      <c r="B48" s="3">
        <v>2E+19</v>
      </c>
      <c r="C48" s="3">
        <f t="shared" si="3"/>
        <v>68123700</v>
      </c>
      <c r="D48" s="2">
        <f t="shared" si="0"/>
        <v>9.7847629108909651E-2</v>
      </c>
      <c r="E48" s="2">
        <f t="shared" si="2"/>
        <v>3309155380104900</v>
      </c>
      <c r="F48" s="1"/>
      <c r="G48" s="1">
        <f t="shared" si="4"/>
        <v>0</v>
      </c>
      <c r="H48" s="1">
        <v>0</v>
      </c>
      <c r="I48">
        <v>1.4E-2</v>
      </c>
      <c r="J48">
        <v>0</v>
      </c>
    </row>
    <row r="49" spans="1:10">
      <c r="A49" s="1">
        <v>47</v>
      </c>
      <c r="B49" s="3">
        <v>2E+19</v>
      </c>
      <c r="C49" s="3">
        <f t="shared" si="3"/>
        <v>69604650</v>
      </c>
      <c r="D49" s="2">
        <f t="shared" si="0"/>
        <v>0.10476078153641144</v>
      </c>
      <c r="E49" s="2">
        <f t="shared" si="2"/>
        <v>3456576213750895</v>
      </c>
      <c r="F49" s="1"/>
      <c r="G49" s="1">
        <f t="shared" si="4"/>
        <v>0</v>
      </c>
      <c r="H49" s="1">
        <v>0</v>
      </c>
      <c r="I49">
        <v>1.4E-2</v>
      </c>
      <c r="J49">
        <v>0</v>
      </c>
    </row>
    <row r="50" spans="1:10">
      <c r="A50" s="1">
        <v>48</v>
      </c>
      <c r="B50" s="3">
        <v>2E+19</v>
      </c>
      <c r="C50" s="3">
        <f t="shared" si="3"/>
        <v>71085600</v>
      </c>
      <c r="D50" s="2">
        <f t="shared" si="0"/>
        <v>0.11197126267663815</v>
      </c>
      <c r="E50" s="2">
        <f t="shared" si="2"/>
        <v>3605240570113355</v>
      </c>
      <c r="F50" s="1"/>
      <c r="G50" s="1">
        <f t="shared" si="4"/>
        <v>0</v>
      </c>
      <c r="H50" s="1">
        <v>0</v>
      </c>
      <c r="I50">
        <v>1.4E-2</v>
      </c>
      <c r="J50">
        <v>0</v>
      </c>
    </row>
    <row r="51" spans="1:10">
      <c r="A51" s="1">
        <v>49</v>
      </c>
      <c r="B51" s="3">
        <v>2E+19</v>
      </c>
      <c r="C51" s="3">
        <f t="shared" si="3"/>
        <v>72566550</v>
      </c>
      <c r="D51" s="2">
        <f t="shared" si="0"/>
        <v>0.11948102585152953</v>
      </c>
      <c r="E51" s="2">
        <f t="shared" si="2"/>
        <v>3754881587445691</v>
      </c>
      <c r="F51" s="1"/>
      <c r="G51" s="1">
        <f t="shared" si="4"/>
        <v>0</v>
      </c>
      <c r="H51" s="1">
        <v>0</v>
      </c>
      <c r="I51">
        <v>1.4E-2</v>
      </c>
      <c r="J51">
        <v>0</v>
      </c>
    </row>
    <row r="52" spans="1:10">
      <c r="A52" s="1">
        <v>50</v>
      </c>
      <c r="B52" s="3">
        <v>2E+19</v>
      </c>
      <c r="C52" s="3">
        <f t="shared" si="3"/>
        <v>74047500</v>
      </c>
      <c r="D52" s="2">
        <f t="shared" si="0"/>
        <v>0.12729146816969394</v>
      </c>
      <c r="E52" s="2">
        <f t="shared" si="2"/>
        <v>3905221159082206</v>
      </c>
      <c r="F52" s="1"/>
      <c r="G52" s="1">
        <f t="shared" si="4"/>
        <v>0</v>
      </c>
      <c r="H52" s="1">
        <v>0</v>
      </c>
      <c r="I52">
        <v>1.4E-2</v>
      </c>
      <c r="J52">
        <v>0</v>
      </c>
    </row>
    <row r="53" spans="1:10">
      <c r="A53" s="1">
        <v>51</v>
      </c>
      <c r="B53" s="3">
        <v>2E+19</v>
      </c>
      <c r="C53" s="3">
        <f t="shared" si="3"/>
        <v>75528450</v>
      </c>
      <c r="D53" s="2">
        <f t="shared" si="0"/>
        <v>0.13540340898394299</v>
      </c>
      <c r="E53" s="2">
        <f>500000000000000000*(D53-D52)/(A53-A52)</f>
        <v>4055970407124520.5</v>
      </c>
      <c r="F53" s="1"/>
      <c r="G53" s="1">
        <f t="shared" ref="G53:G83" si="5">B$2*0</f>
        <v>0</v>
      </c>
      <c r="H53" s="1">
        <v>0</v>
      </c>
      <c r="I53">
        <v>1.4E-2</v>
      </c>
      <c r="J53">
        <v>0</v>
      </c>
    </row>
    <row r="54" spans="1:10">
      <c r="A54" s="1">
        <v>52</v>
      </c>
      <c r="B54" s="3">
        <v>2E+19</v>
      </c>
      <c r="C54" s="3">
        <f t="shared" si="3"/>
        <v>77009400</v>
      </c>
      <c r="D54" s="2">
        <f t="shared" si="0"/>
        <v>0.14381706943722361</v>
      </c>
      <c r="E54" s="2">
        <f t="shared" si="2"/>
        <v>4206830226640312.5</v>
      </c>
      <c r="F54" s="1"/>
      <c r="G54" s="1">
        <f t="shared" si="5"/>
        <v>0</v>
      </c>
      <c r="H54" s="1">
        <v>0</v>
      </c>
      <c r="I54">
        <v>1.4E-2</v>
      </c>
      <c r="J54">
        <f>IF(A52&gt;=50,(J51+D52*(E52-E51))/(1+I52*(C52-C51)),0)</f>
        <v>922960736.44226575</v>
      </c>
    </row>
    <row r="55" spans="1:10">
      <c r="A55" s="1">
        <v>53</v>
      </c>
      <c r="B55" s="3">
        <v>2E+19</v>
      </c>
      <c r="C55" s="3">
        <f t="shared" si="3"/>
        <v>78490350</v>
      </c>
      <c r="D55" s="2">
        <f t="shared" si="0"/>
        <v>0.15253205324030028</v>
      </c>
      <c r="E55" s="2">
        <f t="shared" si="2"/>
        <v>4357491901538335</v>
      </c>
      <c r="F55" s="1"/>
      <c r="G55" s="1">
        <f t="shared" si="5"/>
        <v>0</v>
      </c>
      <c r="H55" s="1">
        <v>0</v>
      </c>
      <c r="I55">
        <v>1.4E-2</v>
      </c>
      <c r="J55">
        <f t="shared" ref="J55:J118" si="6">IF(A53&gt;=50,(J52+D53*(E53-E52))/(1+I53*(C53-C52)),0)</f>
        <v>984453880.12594473</v>
      </c>
    </row>
    <row r="56" spans="1:10">
      <c r="A56" s="1">
        <v>54</v>
      </c>
      <c r="B56" s="3">
        <v>2E+19</v>
      </c>
      <c r="C56" s="3">
        <f t="shared" si="3"/>
        <v>79971300</v>
      </c>
      <c r="D56" s="2">
        <f t="shared" si="0"/>
        <v>0.16154732882606793</v>
      </c>
      <c r="E56" s="2">
        <f t="shared" si="2"/>
        <v>4507637792883823</v>
      </c>
      <c r="F56" s="1"/>
      <c r="G56" s="1">
        <f t="shared" si="5"/>
        <v>0</v>
      </c>
      <c r="H56" s="1">
        <v>0</v>
      </c>
      <c r="I56">
        <v>1.4E-2</v>
      </c>
      <c r="J56">
        <f t="shared" si="6"/>
        <v>1046392554.2984176</v>
      </c>
    </row>
    <row r="57" spans="1:10">
      <c r="A57" s="1">
        <v>55</v>
      </c>
      <c r="B57" s="3">
        <v>2E+19</v>
      </c>
      <c r="C57" s="3">
        <f t="shared" si="3"/>
        <v>81452250</v>
      </c>
      <c r="D57" s="2">
        <f t="shared" si="0"/>
        <v>0.17086121302598767</v>
      </c>
      <c r="E57" s="2">
        <f t="shared" si="2"/>
        <v>4656942099959871</v>
      </c>
      <c r="F57" s="1"/>
      <c r="G57" s="1">
        <f t="shared" si="5"/>
        <v>0</v>
      </c>
      <c r="H57" s="1">
        <v>0</v>
      </c>
      <c r="I57">
        <v>1.4E-2</v>
      </c>
      <c r="J57">
        <f t="shared" si="6"/>
        <v>1108388398.8152204</v>
      </c>
    </row>
    <row r="58" spans="1:10">
      <c r="A58" s="1">
        <v>56</v>
      </c>
      <c r="B58" s="3">
        <v>2E+19</v>
      </c>
      <c r="C58" s="3">
        <f t="shared" si="3"/>
        <v>82933200</v>
      </c>
      <c r="D58" s="2">
        <f t="shared" si="0"/>
        <v>0.18047135641378853</v>
      </c>
      <c r="E58" s="2">
        <f t="shared" si="2"/>
        <v>4805071693900431</v>
      </c>
      <c r="F58" s="1"/>
      <c r="G58" s="1">
        <f t="shared" si="5"/>
        <v>0</v>
      </c>
      <c r="H58" s="1">
        <v>0</v>
      </c>
      <c r="I58">
        <v>1.4E-2</v>
      </c>
      <c r="J58">
        <f t="shared" si="6"/>
        <v>1169880446.1666293</v>
      </c>
    </row>
    <row r="59" spans="1:10">
      <c r="A59" s="1">
        <v>57</v>
      </c>
      <c r="B59" s="3">
        <v>2E+19</v>
      </c>
      <c r="C59" s="3">
        <f t="shared" si="3"/>
        <v>84414150</v>
      </c>
      <c r="D59" s="2">
        <f t="shared" si="0"/>
        <v>0.19037473046022191</v>
      </c>
      <c r="E59" s="2">
        <f t="shared" si="2"/>
        <v>4951687023216689</v>
      </c>
      <c r="F59" s="1"/>
      <c r="G59" s="1">
        <f t="shared" si="5"/>
        <v>0</v>
      </c>
      <c r="H59" s="1">
        <v>0</v>
      </c>
      <c r="I59">
        <v>1.4E-2</v>
      </c>
      <c r="J59">
        <f t="shared" si="6"/>
        <v>1230394149.2875292</v>
      </c>
    </row>
    <row r="60" spans="1:10">
      <c r="A60" s="1">
        <v>58</v>
      </c>
      <c r="B60" s="3">
        <v>2E+19</v>
      </c>
      <c r="C60" s="3">
        <f t="shared" si="3"/>
        <v>85895100</v>
      </c>
      <c r="D60" s="2">
        <f t="shared" si="0"/>
        <v>0.20056761664019762</v>
      </c>
      <c r="E60" s="2">
        <f t="shared" si="2"/>
        <v>5096443089987857</v>
      </c>
      <c r="F60" s="1"/>
      <c r="G60" s="1">
        <f t="shared" si="5"/>
        <v>0</v>
      </c>
      <c r="H60" s="1">
        <v>0</v>
      </c>
      <c r="I60">
        <v>1.4E-2</v>
      </c>
      <c r="J60">
        <f t="shared" si="6"/>
        <v>1289373508.2387826</v>
      </c>
    </row>
    <row r="61" spans="1:10">
      <c r="A61" s="1">
        <v>59</v>
      </c>
      <c r="B61" s="3">
        <v>2E+19</v>
      </c>
      <c r="C61" s="3">
        <f t="shared" si="3"/>
        <v>87376050</v>
      </c>
      <c r="D61" s="2">
        <f t="shared" si="0"/>
        <v>0.2110455976300738</v>
      </c>
      <c r="E61" s="2">
        <f t="shared" si="2"/>
        <v>5238990494938089</v>
      </c>
      <c r="F61" s="1"/>
      <c r="G61" s="1">
        <f t="shared" si="5"/>
        <v>0</v>
      </c>
      <c r="H61" s="1">
        <v>0</v>
      </c>
      <c r="I61">
        <v>1.4E-2</v>
      </c>
      <c r="J61">
        <f t="shared" si="6"/>
        <v>1346224549.6768861</v>
      </c>
    </row>
    <row r="62" spans="1:10">
      <c r="A62" s="1">
        <v>60</v>
      </c>
      <c r="B62" s="3">
        <v>2E+19</v>
      </c>
      <c r="C62" s="3">
        <f t="shared" si="3"/>
        <v>88857000</v>
      </c>
      <c r="D62" s="2">
        <f t="shared" si="0"/>
        <v>0.22180355072813018</v>
      </c>
      <c r="E62" s="2">
        <f t="shared" si="2"/>
        <v>5378976549028192</v>
      </c>
      <c r="F62" s="1"/>
      <c r="G62" s="1">
        <f t="shared" si="5"/>
        <v>0</v>
      </c>
      <c r="H62" s="1">
        <v>0</v>
      </c>
      <c r="I62">
        <v>1.4E-2</v>
      </c>
      <c r="J62">
        <f t="shared" si="6"/>
        <v>1400317816.4033396</v>
      </c>
    </row>
    <row r="63" spans="1:10">
      <c r="A63" s="1">
        <v>61</v>
      </c>
      <c r="B63" s="3">
        <v>2E+19</v>
      </c>
      <c r="C63" s="3">
        <f t="shared" si="3"/>
        <v>90337950</v>
      </c>
      <c r="D63" s="2">
        <f t="shared" si="0"/>
        <v>0.23283564362532416</v>
      </c>
      <c r="E63" s="2">
        <f t="shared" si="2"/>
        <v>5516046448596990</v>
      </c>
      <c r="F63" s="1"/>
      <c r="G63" s="1">
        <f t="shared" si="5"/>
        <v>0</v>
      </c>
      <c r="H63" s="1">
        <v>0</v>
      </c>
      <c r="I63">
        <v>1.4E-2</v>
      </c>
      <c r="J63">
        <f t="shared" si="6"/>
        <v>1450991431.6782382</v>
      </c>
    </row>
    <row r="64" spans="1:10">
      <c r="A64" s="1">
        <v>62</v>
      </c>
      <c r="B64" s="3">
        <v>2E+19</v>
      </c>
      <c r="C64" s="3">
        <f t="shared" si="3"/>
        <v>91818900</v>
      </c>
      <c r="D64" s="2">
        <f t="shared" si="0"/>
        <v>0.24413533264623699</v>
      </c>
      <c r="E64" s="2">
        <f t="shared" si="2"/>
        <v>5649844510456414</v>
      </c>
      <c r="F64" s="1"/>
      <c r="G64" s="1">
        <f t="shared" si="5"/>
        <v>0</v>
      </c>
      <c r="H64" s="1">
        <v>0</v>
      </c>
      <c r="I64">
        <v>1.4E-2</v>
      </c>
      <c r="J64">
        <f t="shared" si="6"/>
        <v>1497554779.9614463</v>
      </c>
    </row>
    <row r="65" spans="1:10">
      <c r="A65" s="1">
        <v>63</v>
      </c>
      <c r="B65" s="3">
        <v>2E+19</v>
      </c>
      <c r="C65" s="3">
        <f t="shared" si="3"/>
        <v>93299850</v>
      </c>
      <c r="D65" s="2">
        <f t="shared" si="0"/>
        <v>0.25569536357173872</v>
      </c>
      <c r="E65" s="2">
        <f t="shared" si="2"/>
        <v>5780015462750865</v>
      </c>
      <c r="F65" s="1"/>
      <c r="G65" s="1">
        <f t="shared" si="5"/>
        <v>0</v>
      </c>
      <c r="H65" s="1">
        <v>0</v>
      </c>
      <c r="I65">
        <v>1.4E-2</v>
      </c>
      <c r="J65">
        <f t="shared" si="6"/>
        <v>1539292795.2993846</v>
      </c>
    </row>
    <row r="66" spans="1:10">
      <c r="A66" s="1">
        <v>64</v>
      </c>
      <c r="B66" s="3">
        <v>2E+19</v>
      </c>
      <c r="C66" s="3">
        <f t="shared" si="3"/>
        <v>94780800</v>
      </c>
      <c r="D66" s="2">
        <f t="shared" ref="D66:D129" si="7">1-EXP(-0.000000277*A66^3.35)</f>
        <v>0.26750777514518875</v>
      </c>
      <c r="E66" s="2">
        <f t="shared" si="2"/>
        <v>5906205786725016</v>
      </c>
      <c r="F66" s="1"/>
      <c r="G66" s="1">
        <f t="shared" si="5"/>
        <v>0</v>
      </c>
      <c r="H66" s="1">
        <v>0</v>
      </c>
      <c r="I66">
        <v>1.4E-2</v>
      </c>
      <c r="J66">
        <f t="shared" si="6"/>
        <v>1575470854.1356089</v>
      </c>
    </row>
    <row r="67" spans="1:10">
      <c r="A67" s="1">
        <v>65</v>
      </c>
      <c r="B67" s="3">
        <v>2E+19</v>
      </c>
      <c r="C67" s="3">
        <f t="shared" ref="C67:C130" si="8">1000000*(A67*10970*24*3600)/(B67*0.000000000032)</f>
        <v>96261750</v>
      </c>
      <c r="D67" s="2">
        <f t="shared" si="7"/>
        <v>0.27956390535309428</v>
      </c>
      <c r="E67" s="2">
        <f t="shared" ref="E67:E130" si="9">500000000000000000*(D67-D66)/(A67-A66)</f>
        <v>6028065103952762</v>
      </c>
      <c r="F67" s="1"/>
      <c r="G67" s="1">
        <f t="shared" si="5"/>
        <v>0</v>
      </c>
      <c r="H67" s="1">
        <v>0</v>
      </c>
      <c r="I67">
        <v>1.4E-2</v>
      </c>
      <c r="J67">
        <f t="shared" si="6"/>
        <v>1605340258.8073418</v>
      </c>
    </row>
    <row r="68" spans="1:10">
      <c r="A68" s="1">
        <v>66</v>
      </c>
      <c r="B68" s="3">
        <v>2E+19</v>
      </c>
      <c r="C68" s="3">
        <f t="shared" si="8"/>
        <v>97742700</v>
      </c>
      <c r="D68" s="2">
        <f t="shared" si="7"/>
        <v>0.29185440055898482</v>
      </c>
      <c r="E68" s="2">
        <f t="shared" si="9"/>
        <v>6145247602945270</v>
      </c>
      <c r="F68" s="1"/>
      <c r="G68" s="1">
        <f t="shared" si="5"/>
        <v>0</v>
      </c>
      <c r="H68" s="1">
        <v>0</v>
      </c>
      <c r="I68">
        <v>1.4E-2</v>
      </c>
      <c r="J68">
        <f t="shared" si="6"/>
        <v>1628144287.6765075</v>
      </c>
    </row>
    <row r="69" spans="1:10">
      <c r="A69" s="1">
        <v>67</v>
      </c>
      <c r="B69" s="3">
        <v>2E+19</v>
      </c>
      <c r="C69" s="3">
        <f t="shared" si="8"/>
        <v>99223650</v>
      </c>
      <c r="D69" s="2">
        <f t="shared" si="7"/>
        <v>0.3043692275558979</v>
      </c>
      <c r="E69" s="2">
        <f t="shared" si="9"/>
        <v>6257413498456543</v>
      </c>
      <c r="F69" s="1"/>
      <c r="G69" s="1">
        <f t="shared" si="5"/>
        <v>0</v>
      </c>
      <c r="H69" s="1">
        <v>0</v>
      </c>
      <c r="I69">
        <v>1.4E-2</v>
      </c>
      <c r="J69">
        <f t="shared" si="6"/>
        <v>1643124778.6857724</v>
      </c>
    </row>
    <row r="70" spans="1:10">
      <c r="A70" s="1">
        <v>68</v>
      </c>
      <c r="B70" s="3">
        <v>2E+19</v>
      </c>
      <c r="C70" s="3">
        <f t="shared" si="8"/>
        <v>100704600</v>
      </c>
      <c r="D70" s="2">
        <f t="shared" si="7"/>
        <v>0.31709768858834275</v>
      </c>
      <c r="E70" s="2">
        <f t="shared" si="9"/>
        <v>6364230516222424</v>
      </c>
      <c r="F70" s="1"/>
      <c r="G70" s="1">
        <f t="shared" si="5"/>
        <v>0</v>
      </c>
      <c r="H70" s="1">
        <v>0</v>
      </c>
      <c r="I70">
        <v>1.4E-2</v>
      </c>
      <c r="J70">
        <f t="shared" si="6"/>
        <v>1649529202.3227732</v>
      </c>
    </row>
    <row r="71" spans="1:10">
      <c r="A71" s="1">
        <v>69</v>
      </c>
      <c r="B71" s="3">
        <v>2E+19</v>
      </c>
      <c r="C71" s="3">
        <f t="shared" si="8"/>
        <v>102185550</v>
      </c>
      <c r="D71" s="2">
        <f t="shared" si="7"/>
        <v>0.33002843937898318</v>
      </c>
      <c r="E71" s="2">
        <f t="shared" si="9"/>
        <v>6465375395320216</v>
      </c>
      <c r="F71" s="1"/>
      <c r="G71" s="1">
        <f t="shared" si="5"/>
        <v>0</v>
      </c>
      <c r="H71" s="1">
        <v>0</v>
      </c>
      <c r="I71">
        <v>1.4E-2</v>
      </c>
      <c r="J71">
        <f t="shared" si="6"/>
        <v>1646618169.8523412</v>
      </c>
    </row>
    <row r="72" spans="1:10">
      <c r="A72" s="1">
        <v>70</v>
      </c>
      <c r="B72" s="3">
        <v>2E+19</v>
      </c>
      <c r="C72" s="3">
        <f t="shared" si="8"/>
        <v>103666500</v>
      </c>
      <c r="D72" s="2">
        <f t="shared" si="7"/>
        <v>0.34314951017860029</v>
      </c>
      <c r="E72" s="2">
        <f t="shared" si="9"/>
        <v>6560535399808554</v>
      </c>
      <c r="F72" s="1"/>
      <c r="G72" s="1">
        <f t="shared" si="5"/>
        <v>0</v>
      </c>
      <c r="H72" s="1">
        <v>0</v>
      </c>
      <c r="I72">
        <v>1.4E-2</v>
      </c>
      <c r="J72">
        <f t="shared" si="6"/>
        <v>1633673312.3490784</v>
      </c>
    </row>
    <row r="73" spans="1:10">
      <c r="A73" s="1">
        <v>71</v>
      </c>
      <c r="B73" s="3">
        <v>2E+19</v>
      </c>
      <c r="C73" s="3">
        <f t="shared" si="8"/>
        <v>105147450</v>
      </c>
      <c r="D73" s="2">
        <f t="shared" si="7"/>
        <v>0.35644832984026809</v>
      </c>
      <c r="E73" s="2">
        <f t="shared" si="9"/>
        <v>6649409830833897</v>
      </c>
      <c r="F73" s="1"/>
      <c r="G73" s="1">
        <f t="shared" si="5"/>
        <v>0</v>
      </c>
      <c r="H73" s="1">
        <v>0</v>
      </c>
      <c r="I73">
        <v>1.4E-2</v>
      </c>
      <c r="J73">
        <f t="shared" si="6"/>
        <v>1610005456.1293392</v>
      </c>
    </row>
    <row r="74" spans="1:10">
      <c r="A74" s="1">
        <v>72</v>
      </c>
      <c r="B74" s="3">
        <v>2E+19</v>
      </c>
      <c r="C74" s="3">
        <f t="shared" si="8"/>
        <v>106628400</v>
      </c>
      <c r="D74" s="2">
        <f t="shared" si="7"/>
        <v>0.36991175290019973</v>
      </c>
      <c r="E74" s="2">
        <f t="shared" si="9"/>
        <v>6731711529965823</v>
      </c>
      <c r="F74" s="1"/>
      <c r="G74" s="1">
        <f t="shared" si="5"/>
        <v>0</v>
      </c>
      <c r="H74" s="1">
        <v>0</v>
      </c>
      <c r="I74">
        <v>1.4E-2</v>
      </c>
      <c r="J74">
        <f t="shared" si="6"/>
        <v>1574963010.4192784</v>
      </c>
    </row>
    <row r="75" spans="1:10">
      <c r="A75" s="1">
        <v>73</v>
      </c>
      <c r="B75" s="3">
        <v>2E+19</v>
      </c>
      <c r="C75" s="3">
        <f t="shared" si="8"/>
        <v>108109350</v>
      </c>
      <c r="D75" s="2">
        <f t="shared" si="7"/>
        <v>0.38352608962847978</v>
      </c>
      <c r="E75" s="2">
        <f t="shared" si="9"/>
        <v>6807168364140026</v>
      </c>
      <c r="F75" s="1"/>
      <c r="G75" s="1">
        <f t="shared" si="5"/>
        <v>0</v>
      </c>
      <c r="H75" s="1">
        <v>0</v>
      </c>
      <c r="I75">
        <v>1.4E-2</v>
      </c>
      <c r="J75">
        <f t="shared" si="6"/>
        <v>1527940474.3733797</v>
      </c>
    </row>
    <row r="76" spans="1:10">
      <c r="A76" s="1">
        <v>74</v>
      </c>
      <c r="B76" s="3">
        <v>2E+19</v>
      </c>
      <c r="C76" s="3">
        <f t="shared" si="8"/>
        <v>109590300</v>
      </c>
      <c r="D76" s="2">
        <f t="shared" si="7"/>
        <v>0.39727713899307926</v>
      </c>
      <c r="E76" s="2">
        <f t="shared" si="9"/>
        <v>6875524682299738</v>
      </c>
      <c r="F76" s="1"/>
      <c r="G76" s="1">
        <f t="shared" si="5"/>
        <v>0</v>
      </c>
      <c r="H76" s="1">
        <v>0</v>
      </c>
      <c r="I76">
        <v>1.4E-2</v>
      </c>
      <c r="J76">
        <f t="shared" si="6"/>
        <v>1468386962.5698347</v>
      </c>
    </row>
    <row r="77" spans="1:10">
      <c r="A77" s="1">
        <v>75</v>
      </c>
      <c r="B77" s="3">
        <v>2E+19</v>
      </c>
      <c r="C77" s="3">
        <f t="shared" si="8"/>
        <v>111071250</v>
      </c>
      <c r="D77" s="2">
        <f t="shared" si="7"/>
        <v>0.41115022446018723</v>
      </c>
      <c r="E77" s="2">
        <f t="shared" si="9"/>
        <v>6936542733553985</v>
      </c>
      <c r="F77" s="1"/>
      <c r="G77" s="1">
        <f t="shared" si="5"/>
        <v>0</v>
      </c>
      <c r="H77" s="1">
        <v>0</v>
      </c>
      <c r="I77">
        <v>1.4E-2</v>
      </c>
      <c r="J77">
        <f t="shared" si="6"/>
        <v>1395814640.9373422</v>
      </c>
    </row>
    <row r="78" spans="1:10">
      <c r="A78" s="1">
        <v>76</v>
      </c>
      <c r="B78" s="3">
        <v>2E+19</v>
      </c>
      <c r="C78" s="3">
        <f t="shared" si="8"/>
        <v>112552200</v>
      </c>
      <c r="D78" s="2">
        <f t="shared" si="7"/>
        <v>0.42513023253331483</v>
      </c>
      <c r="E78" s="2">
        <f t="shared" si="9"/>
        <v>6990004036563802</v>
      </c>
      <c r="F78" s="1"/>
      <c r="G78" s="1">
        <f t="shared" si="5"/>
        <v>0</v>
      </c>
      <c r="H78" s="1">
        <v>0</v>
      </c>
      <c r="I78">
        <v>1.4E-2</v>
      </c>
      <c r="J78">
        <f t="shared" si="6"/>
        <v>1309806960.0162737</v>
      </c>
    </row>
    <row r="79" spans="1:10">
      <c r="A79" s="1">
        <v>77</v>
      </c>
      <c r="B79" s="3">
        <v>2E+19</v>
      </c>
      <c r="C79" s="3">
        <f t="shared" si="8"/>
        <v>114033150</v>
      </c>
      <c r="D79" s="2">
        <f t="shared" si="7"/>
        <v>0.43920165391273003</v>
      </c>
      <c r="E79" s="2">
        <f t="shared" si="9"/>
        <v>7035710689707597</v>
      </c>
      <c r="F79" s="1"/>
      <c r="G79" s="1">
        <f t="shared" si="5"/>
        <v>0</v>
      </c>
      <c r="H79" s="1">
        <v>0</v>
      </c>
      <c r="I79">
        <v>1.4E-2</v>
      </c>
      <c r="J79">
        <f t="shared" si="6"/>
        <v>1210026567.391686</v>
      </c>
    </row>
    <row r="80" spans="1:10">
      <c r="A80" s="1">
        <v>78</v>
      </c>
      <c r="B80" s="3">
        <v>2E+19</v>
      </c>
      <c r="C80" s="3">
        <f t="shared" si="8"/>
        <v>115514100</v>
      </c>
      <c r="D80" s="2">
        <f t="shared" si="7"/>
        <v>0.45334862713609247</v>
      </c>
      <c r="E80" s="2">
        <f t="shared" si="9"/>
        <v>7073486611681223</v>
      </c>
      <c r="F80" s="1"/>
      <c r="G80" s="1">
        <f t="shared" si="5"/>
        <v>0</v>
      </c>
      <c r="H80" s="1">
        <v>0</v>
      </c>
      <c r="I80">
        <v>1.4E-2</v>
      </c>
      <c r="J80">
        <f t="shared" si="6"/>
        <v>1096222780.3561461</v>
      </c>
    </row>
    <row r="81" spans="1:10">
      <c r="A81" s="1">
        <v>79</v>
      </c>
      <c r="B81" s="3">
        <v>2E+19</v>
      </c>
      <c r="C81" s="3">
        <f t="shared" si="8"/>
        <v>116995050</v>
      </c>
      <c r="D81" s="2">
        <f t="shared" si="7"/>
        <v>0.46755498454049127</v>
      </c>
      <c r="E81" s="2">
        <f t="shared" si="9"/>
        <v>7103178702199398</v>
      </c>
      <c r="F81" s="1"/>
      <c r="G81" s="1">
        <f t="shared" si="5"/>
        <v>0</v>
      </c>
      <c r="H81" s="1">
        <v>0</v>
      </c>
      <c r="I81">
        <v>1.4E-2</v>
      </c>
      <c r="J81">
        <f t="shared" si="6"/>
        <v>968238496.71945822</v>
      </c>
    </row>
    <row r="82" spans="1:10">
      <c r="A82" s="1">
        <v>80</v>
      </c>
      <c r="B82" s="3">
        <v>2E+19</v>
      </c>
      <c r="C82" s="3">
        <f t="shared" si="8"/>
        <v>118476000</v>
      </c>
      <c r="D82" s="2">
        <f t="shared" si="7"/>
        <v>0.48180430036592292</v>
      </c>
      <c r="E82" s="2">
        <f t="shared" si="9"/>
        <v>7124657912715826</v>
      </c>
      <c r="F82" s="1"/>
      <c r="G82" s="1">
        <f t="shared" si="5"/>
        <v>0</v>
      </c>
      <c r="H82" s="1">
        <v>0</v>
      </c>
      <c r="I82">
        <v>1.4E-2</v>
      </c>
      <c r="J82">
        <f t="shared" si="6"/>
        <v>826016426.50636339</v>
      </c>
    </row>
    <row r="83" spans="1:10">
      <c r="A83" s="1">
        <v>81</v>
      </c>
      <c r="B83" s="3">
        <v>2E+19</v>
      </c>
      <c r="C83" s="3">
        <f t="shared" si="8"/>
        <v>119956950</v>
      </c>
      <c r="D83" s="2">
        <f t="shared" si="7"/>
        <v>0.49607994080064444</v>
      </c>
      <c r="E83" s="2">
        <f t="shared" si="9"/>
        <v>7137820217360757</v>
      </c>
      <c r="F83" s="1"/>
      <c r="G83" s="1">
        <f t="shared" si="5"/>
        <v>0</v>
      </c>
      <c r="H83" s="1">
        <v>0</v>
      </c>
      <c r="I83">
        <v>1.4E-2</v>
      </c>
      <c r="J83">
        <f t="shared" si="6"/>
        <v>669604527.0870266</v>
      </c>
    </row>
    <row r="84" spans="1:10">
      <c r="A84" s="1">
        <v>82.347504619999995</v>
      </c>
      <c r="B84" s="3">
        <v>2E+19</v>
      </c>
      <c r="C84" s="3">
        <f t="shared" si="8"/>
        <v>121952536.966989</v>
      </c>
      <c r="D84" s="2">
        <f t="shared" si="7"/>
        <v>0.51532841940589924</v>
      </c>
      <c r="E84" s="2">
        <f t="shared" si="9"/>
        <v>7142268130128887</v>
      </c>
      <c r="F84" s="1"/>
      <c r="G84" s="1">
        <v>0.27973200100000001</v>
      </c>
      <c r="H84" s="1">
        <v>0.27973200100000001</v>
      </c>
      <c r="I84">
        <v>1.4E-2</v>
      </c>
      <c r="J84">
        <f t="shared" si="6"/>
        <v>499160532.72966468</v>
      </c>
    </row>
    <row r="85" spans="1:10">
      <c r="A85" s="1">
        <v>83</v>
      </c>
      <c r="B85" s="3">
        <v>2E+19</v>
      </c>
      <c r="C85" s="3">
        <f t="shared" si="8"/>
        <v>122918850</v>
      </c>
      <c r="D85" s="2">
        <f t="shared" si="7"/>
        <v>0.52464293209249291</v>
      </c>
      <c r="E85" s="2">
        <f t="shared" si="9"/>
        <v>7137608151795342</v>
      </c>
      <c r="F85" s="1"/>
      <c r="G85" s="1">
        <v>0</v>
      </c>
      <c r="H85" s="1">
        <v>0</v>
      </c>
      <c r="I85">
        <v>1.4E-2</v>
      </c>
      <c r="J85">
        <f t="shared" si="6"/>
        <v>314955475.97381753</v>
      </c>
    </row>
    <row r="86" spans="1:10">
      <c r="A86" s="1">
        <v>84</v>
      </c>
      <c r="B86" s="3">
        <v>2E+19</v>
      </c>
      <c r="C86" s="3">
        <f t="shared" si="8"/>
        <v>124399800</v>
      </c>
      <c r="D86" s="2">
        <f t="shared" si="7"/>
        <v>0.53889644817034255</v>
      </c>
      <c r="E86" s="2">
        <f t="shared" si="9"/>
        <v>7126758038924819</v>
      </c>
      <c r="F86" s="1"/>
      <c r="G86" s="1">
        <v>0</v>
      </c>
      <c r="H86" s="1">
        <v>0</v>
      </c>
      <c r="I86">
        <v>1.4E-2</v>
      </c>
      <c r="J86">
        <f t="shared" si="6"/>
        <v>82064054.151733011</v>
      </c>
    </row>
    <row r="87" spans="1:10">
      <c r="A87" s="1">
        <v>85.582255079999996</v>
      </c>
      <c r="B87" s="3">
        <v>2E+19</v>
      </c>
      <c r="C87" s="3">
        <f t="shared" si="8"/>
        <v>126743040.660726</v>
      </c>
      <c r="D87" s="2">
        <f t="shared" si="7"/>
        <v>0.56135821386993778</v>
      </c>
      <c r="E87" s="2">
        <f t="shared" si="9"/>
        <v>7098022936856456</v>
      </c>
      <c r="F87" s="1"/>
      <c r="G87" s="1">
        <v>0.31596679300000002</v>
      </c>
      <c r="H87" s="1">
        <v>0.31596679300000002</v>
      </c>
      <c r="I87">
        <v>1.4E-2</v>
      </c>
      <c r="J87">
        <f t="shared" si="6"/>
        <v>-180667930.90544641</v>
      </c>
    </row>
    <row r="88" spans="1:10">
      <c r="A88" s="1">
        <v>86</v>
      </c>
      <c r="B88" s="3">
        <v>2E+19</v>
      </c>
      <c r="C88" s="3">
        <f t="shared" si="8"/>
        <v>127361700</v>
      </c>
      <c r="D88" s="2">
        <f t="shared" si="7"/>
        <v>0.56726290364540777</v>
      </c>
      <c r="E88" s="2">
        <f t="shared" si="9"/>
        <v>7067338814640675</v>
      </c>
      <c r="F88" s="1"/>
      <c r="G88" s="1">
        <v>0</v>
      </c>
      <c r="H88" s="1">
        <v>0</v>
      </c>
      <c r="I88">
        <v>1.4E-2</v>
      </c>
      <c r="J88">
        <f t="shared" si="6"/>
        <v>-281985518.32934755</v>
      </c>
    </row>
    <row r="89" spans="1:10">
      <c r="A89" s="1">
        <v>87</v>
      </c>
      <c r="B89" s="3">
        <v>2E+19</v>
      </c>
      <c r="C89" s="3">
        <f t="shared" si="8"/>
        <v>128842650</v>
      </c>
      <c r="D89" s="2">
        <f t="shared" si="7"/>
        <v>0.58134221928738639</v>
      </c>
      <c r="E89" s="2">
        <f t="shared" si="9"/>
        <v>7039657820989309</v>
      </c>
      <c r="F89" s="1"/>
      <c r="G89" s="1">
        <v>0</v>
      </c>
      <c r="H89" s="1">
        <v>0</v>
      </c>
      <c r="I89">
        <v>1.4E-2</v>
      </c>
      <c r="J89">
        <f t="shared" si="6"/>
        <v>-491691213.53871995</v>
      </c>
    </row>
    <row r="90" spans="1:10">
      <c r="A90" s="1">
        <v>88</v>
      </c>
      <c r="B90" s="3">
        <v>2E+19</v>
      </c>
      <c r="C90" s="3">
        <f t="shared" si="8"/>
        <v>130323600</v>
      </c>
      <c r="D90" s="2">
        <f t="shared" si="7"/>
        <v>0.59533010030743061</v>
      </c>
      <c r="E90" s="2">
        <f t="shared" si="9"/>
        <v>6993940510022112</v>
      </c>
      <c r="F90" s="1"/>
      <c r="G90" s="1">
        <v>0</v>
      </c>
      <c r="H90" s="1">
        <v>0</v>
      </c>
      <c r="I90">
        <v>1.4E-2</v>
      </c>
      <c r="J90">
        <f t="shared" si="6"/>
        <v>-2009429837.9427068</v>
      </c>
    </row>
    <row r="91" spans="1:10">
      <c r="A91" s="1">
        <v>89</v>
      </c>
      <c r="B91" s="3">
        <v>2E+19</v>
      </c>
      <c r="C91" s="3">
        <f t="shared" si="8"/>
        <v>131804550</v>
      </c>
      <c r="D91" s="2">
        <f t="shared" si="7"/>
        <v>0.60921020345305066</v>
      </c>
      <c r="E91" s="2">
        <f t="shared" si="9"/>
        <v>6940051572810024</v>
      </c>
      <c r="F91" s="1"/>
      <c r="G91" s="1">
        <v>0</v>
      </c>
      <c r="H91" s="1">
        <v>0</v>
      </c>
      <c r="I91">
        <v>1.4E-2</v>
      </c>
      <c r="J91">
        <f t="shared" si="6"/>
        <v>-776125177.45395291</v>
      </c>
    </row>
    <row r="92" spans="1:10">
      <c r="A92" s="1">
        <v>90.110905729999999</v>
      </c>
      <c r="B92" s="3">
        <v>2E+19</v>
      </c>
      <c r="C92" s="3">
        <f t="shared" si="8"/>
        <v>133449745.8408435</v>
      </c>
      <c r="D92" s="2">
        <f t="shared" si="7"/>
        <v>0.62448381005329823</v>
      </c>
      <c r="E92" s="2">
        <f t="shared" si="9"/>
        <v>6874393653657535</v>
      </c>
      <c r="F92" s="1"/>
      <c r="G92" s="1">
        <v>0.47913882800000002</v>
      </c>
      <c r="H92" s="1">
        <v>0.47913882800000002</v>
      </c>
      <c r="I92">
        <v>1.4E-2</v>
      </c>
      <c r="J92">
        <f t="shared" si="6"/>
        <v>-1312674313.3407409</v>
      </c>
    </row>
    <row r="93" spans="1:10">
      <c r="A93" s="1">
        <v>91</v>
      </c>
      <c r="B93" s="3">
        <v>2E+19</v>
      </c>
      <c r="C93" s="3">
        <f t="shared" si="8"/>
        <v>134766450</v>
      </c>
      <c r="D93" s="2">
        <f t="shared" si="7"/>
        <v>0.63658320045420203</v>
      </c>
      <c r="E93" s="2">
        <f t="shared" si="9"/>
        <v>6804334933405759</v>
      </c>
      <c r="F93" s="1"/>
      <c r="G93" s="1">
        <v>0</v>
      </c>
      <c r="H93" s="1">
        <v>0</v>
      </c>
      <c r="I93">
        <v>1.4E-2</v>
      </c>
      <c r="J93">
        <f t="shared" si="6"/>
        <v>-1583448673.5835185</v>
      </c>
    </row>
    <row r="94" spans="1:10">
      <c r="A94" s="1">
        <v>92</v>
      </c>
      <c r="B94" s="3">
        <v>2E+19</v>
      </c>
      <c r="C94" s="3">
        <f t="shared" si="8"/>
        <v>136247400</v>
      </c>
      <c r="D94" s="2">
        <f t="shared" si="7"/>
        <v>0.65004506895855241</v>
      </c>
      <c r="E94" s="2">
        <f t="shared" si="9"/>
        <v>6730934252175191</v>
      </c>
      <c r="F94" s="1"/>
      <c r="G94" s="1">
        <v>0</v>
      </c>
      <c r="H94" s="1">
        <v>0</v>
      </c>
      <c r="I94">
        <v>1.4E-2</v>
      </c>
      <c r="J94">
        <f t="shared" si="6"/>
        <v>-1780131254.5701504</v>
      </c>
    </row>
    <row r="95" spans="1:10">
      <c r="A95" s="1">
        <v>93</v>
      </c>
      <c r="B95" s="3">
        <v>2E+19</v>
      </c>
      <c r="C95" s="3">
        <f t="shared" si="8"/>
        <v>137728350</v>
      </c>
      <c r="D95" s="2">
        <f t="shared" si="7"/>
        <v>0.66333721502090826</v>
      </c>
      <c r="E95" s="2">
        <f t="shared" si="9"/>
        <v>6646073031177924</v>
      </c>
      <c r="F95" s="1"/>
      <c r="G95" s="1">
        <v>0</v>
      </c>
      <c r="H95" s="1">
        <v>0</v>
      </c>
      <c r="I95">
        <v>1.4E-2</v>
      </c>
      <c r="J95">
        <f t="shared" si="6"/>
        <v>-2419303499.915823</v>
      </c>
    </row>
    <row r="96" spans="1:10">
      <c r="A96" s="1">
        <v>94</v>
      </c>
      <c r="B96" s="3">
        <v>2E+19</v>
      </c>
      <c r="C96" s="3">
        <f t="shared" si="8"/>
        <v>139209300</v>
      </c>
      <c r="D96" s="2">
        <f t="shared" si="7"/>
        <v>0.67644527431489609</v>
      </c>
      <c r="E96" s="2">
        <f t="shared" si="9"/>
        <v>6554029646993920</v>
      </c>
      <c r="F96" s="1"/>
      <c r="G96" s="1">
        <v>0</v>
      </c>
      <c r="H96" s="1">
        <v>0</v>
      </c>
      <c r="I96">
        <v>1.4E-2</v>
      </c>
      <c r="J96">
        <f t="shared" si="6"/>
        <v>-2301275391.0574694</v>
      </c>
    </row>
    <row r="97" spans="1:10">
      <c r="A97" s="1">
        <v>95</v>
      </c>
      <c r="B97" s="3">
        <v>2E+19</v>
      </c>
      <c r="C97" s="3">
        <f t="shared" si="8"/>
        <v>140690250</v>
      </c>
      <c r="D97" s="2">
        <f t="shared" si="7"/>
        <v>0.68935543100797747</v>
      </c>
      <c r="E97" s="2">
        <f t="shared" si="9"/>
        <v>6455078346540688</v>
      </c>
      <c r="F97" s="1"/>
      <c r="G97" s="1">
        <v>0</v>
      </c>
      <c r="H97" s="1">
        <v>0</v>
      </c>
      <c r="I97">
        <v>1.4E-2</v>
      </c>
      <c r="J97">
        <f>IF(A95&gt;=50,(J94+D95*(E95-E94))/(1+I95*(C95-C94)),0)</f>
        <v>-2714988503.631928</v>
      </c>
    </row>
    <row r="98" spans="1:10">
      <c r="A98" s="1">
        <v>96.256931609999995</v>
      </c>
      <c r="B98" s="3">
        <v>2E+19</v>
      </c>
      <c r="C98" s="3">
        <f t="shared" si="8"/>
        <v>142551702.86782953</v>
      </c>
      <c r="D98" s="2">
        <f t="shared" si="7"/>
        <v>0.70528161226682062</v>
      </c>
      <c r="E98" s="2">
        <f t="shared" si="9"/>
        <v>6335341211938815</v>
      </c>
      <c r="F98" s="1"/>
      <c r="G98" s="1">
        <v>0.50929475700000004</v>
      </c>
      <c r="H98" s="1">
        <v>0.50929475700000004</v>
      </c>
      <c r="I98">
        <v>1.4E-2</v>
      </c>
      <c r="J98">
        <f t="shared" si="6"/>
        <v>-3002982090.8697119</v>
      </c>
    </row>
    <row r="99" spans="1:10">
      <c r="A99" s="1">
        <v>97</v>
      </c>
      <c r="B99" s="3">
        <v>2E+19</v>
      </c>
      <c r="C99" s="3">
        <f t="shared" si="8"/>
        <v>143652150</v>
      </c>
      <c r="D99" s="2">
        <f t="shared" si="7"/>
        <v>0.71452978886437291</v>
      </c>
      <c r="E99" s="2">
        <f t="shared" si="9"/>
        <v>6222964616724056</v>
      </c>
      <c r="F99" s="1"/>
      <c r="G99" s="1">
        <v>0</v>
      </c>
      <c r="H99" s="1">
        <v>0</v>
      </c>
      <c r="I99">
        <v>1.4E-2</v>
      </c>
      <c r="J99">
        <f t="shared" si="6"/>
        <v>-3289955178.0445294</v>
      </c>
    </row>
    <row r="100" spans="1:10">
      <c r="A100" s="1">
        <v>98</v>
      </c>
      <c r="B100" s="3">
        <v>2E+19</v>
      </c>
      <c r="C100" s="3">
        <f t="shared" si="8"/>
        <v>145133100</v>
      </c>
      <c r="D100" s="2">
        <f t="shared" si="7"/>
        <v>0.72676950081929981</v>
      </c>
      <c r="E100" s="2">
        <f t="shared" si="9"/>
        <v>6119855977463451</v>
      </c>
      <c r="F100" s="1"/>
      <c r="G100" s="1">
        <v>0</v>
      </c>
      <c r="H100" s="1">
        <v>0</v>
      </c>
      <c r="I100">
        <v>1.4E-2</v>
      </c>
      <c r="J100">
        <f t="shared" si="6"/>
        <v>-3240474735.5240889</v>
      </c>
    </row>
    <row r="101" spans="1:10">
      <c r="A101" s="1">
        <v>99</v>
      </c>
      <c r="B101" s="3">
        <v>2E+19</v>
      </c>
      <c r="C101" s="3">
        <f t="shared" si="8"/>
        <v>146614050</v>
      </c>
      <c r="D101" s="2">
        <f t="shared" si="7"/>
        <v>0.73876240915245561</v>
      </c>
      <c r="E101" s="2">
        <f t="shared" si="9"/>
        <v>5996454166577903</v>
      </c>
      <c r="F101" s="1"/>
      <c r="G101" s="1">
        <v>0</v>
      </c>
      <c r="H101" s="1">
        <v>0</v>
      </c>
      <c r="I101">
        <v>1.4E-2</v>
      </c>
      <c r="J101">
        <f t="shared" si="6"/>
        <v>-5211791623.8152523</v>
      </c>
    </row>
    <row r="102" spans="1:10">
      <c r="A102" s="1">
        <v>100</v>
      </c>
      <c r="B102" s="3">
        <v>2E+19</v>
      </c>
      <c r="C102" s="3">
        <f t="shared" si="8"/>
        <v>148095000</v>
      </c>
      <c r="D102" s="2">
        <f t="shared" si="7"/>
        <v>0.75049807219511955</v>
      </c>
      <c r="E102" s="2">
        <f t="shared" si="9"/>
        <v>5867831521331968</v>
      </c>
      <c r="F102" s="1"/>
      <c r="G102" s="1">
        <v>0</v>
      </c>
      <c r="H102" s="1">
        <v>0</v>
      </c>
      <c r="I102">
        <v>1.4E-2</v>
      </c>
      <c r="J102">
        <f t="shared" si="6"/>
        <v>-3614277030.8505812</v>
      </c>
    </row>
    <row r="103" spans="1:10">
      <c r="A103" s="1">
        <v>101</v>
      </c>
      <c r="B103" s="3">
        <v>2E+19</v>
      </c>
      <c r="C103" s="3">
        <f t="shared" si="8"/>
        <v>149575950</v>
      </c>
      <c r="D103" s="2">
        <f t="shared" si="7"/>
        <v>0.76196682704241303</v>
      </c>
      <c r="E103" s="2">
        <f t="shared" si="9"/>
        <v>5734377423646742</v>
      </c>
      <c r="F103" s="1"/>
      <c r="G103" s="1">
        <v>0</v>
      </c>
      <c r="H103" s="1">
        <v>0</v>
      </c>
      <c r="I103">
        <v>1.4E-2</v>
      </c>
      <c r="J103">
        <f t="shared" si="6"/>
        <v>-4396958642.3616276</v>
      </c>
    </row>
    <row r="104" spans="1:10">
      <c r="A104" s="1">
        <v>102.7264325</v>
      </c>
      <c r="B104" s="3">
        <v>2E+19</v>
      </c>
      <c r="C104" s="3">
        <f t="shared" si="8"/>
        <v>152132710.21087497</v>
      </c>
      <c r="D104" s="2">
        <f t="shared" si="7"/>
        <v>0.78111323268965904</v>
      </c>
      <c r="E104" s="2">
        <f t="shared" si="9"/>
        <v>5545077970684054</v>
      </c>
      <c r="F104" s="1"/>
      <c r="G104" s="1">
        <v>0.58579456799999996</v>
      </c>
      <c r="H104" s="1">
        <v>0.58579456799999996</v>
      </c>
      <c r="I104">
        <v>1.4E-2</v>
      </c>
      <c r="J104">
        <f t="shared" si="6"/>
        <v>-4655872592.2425537</v>
      </c>
    </row>
    <row r="105" spans="1:10">
      <c r="A105" s="1">
        <v>103.0499076</v>
      </c>
      <c r="B105" s="3">
        <v>2E+19</v>
      </c>
      <c r="C105" s="3">
        <f t="shared" si="8"/>
        <v>152611760.66022</v>
      </c>
      <c r="D105" s="2">
        <f t="shared" si="7"/>
        <v>0.78460589128921687</v>
      </c>
      <c r="E105" s="2">
        <f t="shared" si="9"/>
        <v>5398651394740851</v>
      </c>
      <c r="F105" s="1"/>
      <c r="G105" s="1">
        <v>0.51526187599999995</v>
      </c>
      <c r="H105" s="1">
        <v>0.51526187599999995</v>
      </c>
      <c r="I105">
        <v>1.4E-2</v>
      </c>
      <c r="J105">
        <f t="shared" si="6"/>
        <v>-4904492056.449976</v>
      </c>
    </row>
    <row r="106" spans="1:10">
      <c r="A106" s="1">
        <v>103.6968577</v>
      </c>
      <c r="B106" s="3">
        <v>2E+19</v>
      </c>
      <c r="C106" s="3">
        <f t="shared" si="8"/>
        <v>153569861.41081497</v>
      </c>
      <c r="D106" s="2">
        <f t="shared" si="7"/>
        <v>0.79149951713808264</v>
      </c>
      <c r="E106" s="2">
        <f t="shared" si="9"/>
        <v>5327787915069332</v>
      </c>
      <c r="F106" s="1"/>
      <c r="G106" s="1">
        <v>0.63213100099999997</v>
      </c>
      <c r="H106" s="1">
        <v>0.63213100099999997</v>
      </c>
      <c r="I106">
        <v>1.4E-2</v>
      </c>
      <c r="J106">
        <f t="shared" si="6"/>
        <v>-4130913497.0969577</v>
      </c>
    </row>
    <row r="107" spans="1:10">
      <c r="A107" s="1">
        <v>104.99075790000001</v>
      </c>
      <c r="B107" s="3">
        <v>2E+19</v>
      </c>
      <c r="C107" s="3">
        <f t="shared" si="8"/>
        <v>155486062.91200504</v>
      </c>
      <c r="D107" s="2">
        <f t="shared" si="7"/>
        <v>0.80491410624902981</v>
      </c>
      <c r="E107" s="2">
        <f t="shared" si="9"/>
        <v>5183780445720260</v>
      </c>
      <c r="F107" s="1"/>
      <c r="G107" s="1">
        <v>0.45277101400000003</v>
      </c>
      <c r="H107" s="1">
        <v>0.45277101400000003</v>
      </c>
      <c r="I107">
        <v>1.4E-2</v>
      </c>
      <c r="J107">
        <f t="shared" si="6"/>
        <v>-17128330463.126963</v>
      </c>
    </row>
    <row r="108" spans="1:10">
      <c r="A108" s="1">
        <v>105</v>
      </c>
      <c r="B108" s="3">
        <v>2E+19</v>
      </c>
      <c r="C108" s="3">
        <f t="shared" si="8"/>
        <v>155499750</v>
      </c>
      <c r="D108" s="2">
        <f t="shared" si="7"/>
        <v>0.8050081145887551</v>
      </c>
      <c r="E108" s="2">
        <f t="shared" si="9"/>
        <v>5085875489625646</v>
      </c>
      <c r="F108" s="1"/>
      <c r="G108" s="1">
        <v>0</v>
      </c>
      <c r="H108" s="1">
        <v>0</v>
      </c>
      <c r="I108">
        <v>1.4E-2</v>
      </c>
      <c r="J108">
        <f t="shared" si="6"/>
        <v>-4181571333.3028784</v>
      </c>
    </row>
    <row r="109" spans="1:10">
      <c r="A109" s="1">
        <v>106</v>
      </c>
      <c r="B109" s="3">
        <v>2E+19</v>
      </c>
      <c r="C109" s="3">
        <f t="shared" si="8"/>
        <v>156980700</v>
      </c>
      <c r="D109" s="2">
        <f t="shared" si="7"/>
        <v>0.81502624496620568</v>
      </c>
      <c r="E109" s="2">
        <f t="shared" si="9"/>
        <v>5009065188725292</v>
      </c>
      <c r="F109" s="1"/>
      <c r="G109" s="1">
        <v>0</v>
      </c>
      <c r="H109" s="1">
        <v>0</v>
      </c>
      <c r="I109">
        <v>1.4E-2</v>
      </c>
      <c r="J109">
        <f t="shared" si="6"/>
        <v>-4320804672.3511877</v>
      </c>
    </row>
    <row r="110" spans="1:10">
      <c r="A110" s="1">
        <v>107</v>
      </c>
      <c r="B110" s="3">
        <v>2E+19</v>
      </c>
      <c r="C110" s="3">
        <f t="shared" si="8"/>
        <v>158461650</v>
      </c>
      <c r="D110" s="2">
        <f t="shared" si="7"/>
        <v>0.82473702210573596</v>
      </c>
      <c r="E110" s="2">
        <f t="shared" si="9"/>
        <v>4855388569765140</v>
      </c>
      <c r="F110" s="1"/>
      <c r="G110" s="1">
        <v>0</v>
      </c>
      <c r="H110" s="1">
        <v>0</v>
      </c>
      <c r="I110">
        <v>1.4E-2</v>
      </c>
      <c r="J110">
        <f t="shared" si="6"/>
        <v>-409260340493.64191</v>
      </c>
    </row>
    <row r="111" spans="1:10">
      <c r="A111" s="1">
        <v>108</v>
      </c>
      <c r="B111" s="3">
        <v>2E+19</v>
      </c>
      <c r="C111" s="3">
        <f t="shared" si="8"/>
        <v>159942600</v>
      </c>
      <c r="D111" s="2">
        <f t="shared" si="7"/>
        <v>0.83413673561140611</v>
      </c>
      <c r="E111" s="2">
        <f t="shared" si="9"/>
        <v>4699856752835074</v>
      </c>
      <c r="F111" s="1"/>
      <c r="G111" s="1">
        <v>0</v>
      </c>
      <c r="H111" s="1">
        <v>0</v>
      </c>
      <c r="I111">
        <v>1.4E-2</v>
      </c>
      <c r="J111">
        <f t="shared" si="6"/>
        <v>-3019469800.7105713</v>
      </c>
    </row>
    <row r="112" spans="1:10">
      <c r="A112" s="1">
        <v>109.5194085</v>
      </c>
      <c r="B112" s="3">
        <v>2E+19</v>
      </c>
      <c r="C112" s="3">
        <f t="shared" si="8"/>
        <v>162192768.01807502</v>
      </c>
      <c r="D112" s="2">
        <f t="shared" si="7"/>
        <v>0.84781723932443342</v>
      </c>
      <c r="E112" s="2">
        <f t="shared" si="9"/>
        <v>4501917592611644</v>
      </c>
      <c r="F112" s="1"/>
      <c r="G112" s="1">
        <v>0.31367604500000001</v>
      </c>
      <c r="H112" s="1">
        <v>0.31367604500000001</v>
      </c>
      <c r="I112">
        <v>1.4E-2</v>
      </c>
      <c r="J112">
        <f t="shared" si="6"/>
        <v>-6112920035.5520077</v>
      </c>
    </row>
    <row r="113" spans="1:10">
      <c r="A113" s="1">
        <v>110.81330869999999</v>
      </c>
      <c r="B113" s="3">
        <v>2E+19</v>
      </c>
      <c r="C113" s="3">
        <f t="shared" si="8"/>
        <v>164108969.51926497</v>
      </c>
      <c r="D113" s="2">
        <f t="shared" si="7"/>
        <v>0.8588914086034255</v>
      </c>
      <c r="E113" s="2">
        <f t="shared" si="9"/>
        <v>4279375364109267.5</v>
      </c>
      <c r="F113" s="1"/>
      <c r="G113" s="1">
        <v>0.43053772099999998</v>
      </c>
      <c r="H113" s="1">
        <v>0.43053772099999998</v>
      </c>
      <c r="I113">
        <v>1.4E-2</v>
      </c>
      <c r="J113">
        <f t="shared" si="6"/>
        <v>-6276752164.2037458</v>
      </c>
    </row>
    <row r="114" spans="1:10">
      <c r="A114" s="1">
        <v>111</v>
      </c>
      <c r="B114" s="3">
        <v>2E+19</v>
      </c>
      <c r="C114" s="3">
        <f t="shared" si="8"/>
        <v>164385450</v>
      </c>
      <c r="D114" s="2">
        <f t="shared" si="7"/>
        <v>0.86044540570916772</v>
      </c>
      <c r="E114" s="2">
        <f t="shared" si="9"/>
        <v>4161943019685881.5</v>
      </c>
      <c r="F114" s="1"/>
      <c r="G114" s="1">
        <v>0</v>
      </c>
      <c r="H114" s="1">
        <v>0</v>
      </c>
      <c r="I114">
        <v>1.4E-2</v>
      </c>
      <c r="J114">
        <f t="shared" si="6"/>
        <v>-5327028390.3954058</v>
      </c>
    </row>
    <row r="115" spans="1:10">
      <c r="A115" s="1">
        <v>112</v>
      </c>
      <c r="B115" s="3">
        <v>2E+19</v>
      </c>
      <c r="C115" s="3">
        <f t="shared" si="8"/>
        <v>165866400</v>
      </c>
      <c r="D115" s="2">
        <f t="shared" si="7"/>
        <v>0.86858104146753734</v>
      </c>
      <c r="E115" s="2">
        <f t="shared" si="9"/>
        <v>4067817879184809.5</v>
      </c>
      <c r="F115" s="1"/>
      <c r="G115" s="1">
        <v>0</v>
      </c>
      <c r="H115" s="1">
        <v>0</v>
      </c>
      <c r="I115">
        <v>1.4E-2</v>
      </c>
      <c r="J115">
        <f t="shared" si="6"/>
        <v>-7124906674.8093853</v>
      </c>
    </row>
    <row r="116" spans="1:10">
      <c r="A116" s="1">
        <v>113</v>
      </c>
      <c r="B116" s="3">
        <v>2E+19</v>
      </c>
      <c r="C116" s="3">
        <f t="shared" si="8"/>
        <v>167347350</v>
      </c>
      <c r="D116" s="2">
        <f t="shared" si="7"/>
        <v>0.87639991201250822</v>
      </c>
      <c r="E116" s="2">
        <f t="shared" si="9"/>
        <v>3909435272485440</v>
      </c>
      <c r="F116" s="1"/>
      <c r="G116" s="1">
        <v>0</v>
      </c>
      <c r="H116" s="1">
        <v>0</v>
      </c>
      <c r="I116">
        <v>1.4E-2</v>
      </c>
      <c r="J116">
        <f t="shared" si="6"/>
        <v>-26099568753.743652</v>
      </c>
    </row>
    <row r="117" spans="1:10">
      <c r="A117" s="1">
        <v>114</v>
      </c>
      <c r="B117" s="3">
        <v>2E+19</v>
      </c>
      <c r="C117" s="3">
        <f t="shared" si="8"/>
        <v>168828300</v>
      </c>
      <c r="D117" s="2">
        <f t="shared" si="7"/>
        <v>0.88390333689868095</v>
      </c>
      <c r="E117" s="2">
        <f t="shared" si="9"/>
        <v>3751712443086363.5</v>
      </c>
      <c r="F117" s="1"/>
      <c r="G117" s="1">
        <v>0</v>
      </c>
      <c r="H117" s="1">
        <v>0</v>
      </c>
      <c r="I117">
        <v>1.4E-2</v>
      </c>
      <c r="J117">
        <f t="shared" si="6"/>
        <v>-3943255359.1435342</v>
      </c>
    </row>
    <row r="118" spans="1:10">
      <c r="A118" s="1">
        <v>115</v>
      </c>
      <c r="B118" s="3">
        <v>2E+19</v>
      </c>
      <c r="C118" s="3">
        <f t="shared" si="8"/>
        <v>170309250</v>
      </c>
      <c r="D118" s="2">
        <f t="shared" si="7"/>
        <v>0.89109340122138991</v>
      </c>
      <c r="E118" s="2">
        <f t="shared" si="9"/>
        <v>3595032161354483.5</v>
      </c>
      <c r="F118" s="1"/>
      <c r="G118" s="1">
        <v>0</v>
      </c>
      <c r="H118" s="1">
        <v>0</v>
      </c>
      <c r="I118">
        <v>1.4E-2</v>
      </c>
      <c r="J118">
        <f t="shared" si="6"/>
        <v>-6694878895.4685688</v>
      </c>
    </row>
    <row r="119" spans="1:10">
      <c r="A119" s="1">
        <v>116.31238449999999</v>
      </c>
      <c r="B119" s="3">
        <v>2E+19</v>
      </c>
      <c r="C119" s="3">
        <f t="shared" si="8"/>
        <v>172252825.825275</v>
      </c>
      <c r="D119" s="2">
        <f t="shared" si="7"/>
        <v>0.90005886445049255</v>
      </c>
      <c r="E119" s="2">
        <f t="shared" si="9"/>
        <v>3415715146400570.5</v>
      </c>
      <c r="F119" s="1"/>
      <c r="G119" s="1">
        <v>0.34180941199999998</v>
      </c>
      <c r="H119" s="1">
        <v>0.34180941199999998</v>
      </c>
      <c r="I119">
        <v>1.4E-2</v>
      </c>
      <c r="J119">
        <f t="shared" ref="J119:J182" si="10">IF(A117&gt;=50,(J116+D117*(E117-E116))/(1+I117*(C117-C116)),0)</f>
        <v>-6724983953.145216</v>
      </c>
    </row>
    <row r="120" spans="1:10">
      <c r="A120" s="1">
        <v>117</v>
      </c>
      <c r="B120" s="3">
        <v>2E+19</v>
      </c>
      <c r="C120" s="3">
        <f t="shared" si="8"/>
        <v>173271150</v>
      </c>
      <c r="D120" s="2">
        <f t="shared" si="7"/>
        <v>0.90454543212681138</v>
      </c>
      <c r="E120" s="2">
        <f t="shared" si="9"/>
        <v>3262410225132204.5</v>
      </c>
      <c r="F120" s="1"/>
      <c r="G120" s="1">
        <v>0</v>
      </c>
      <c r="H120" s="1">
        <v>0</v>
      </c>
      <c r="I120">
        <v>1.4E-2</v>
      </c>
      <c r="J120">
        <f t="shared" si="10"/>
        <v>-6733803813.3983641</v>
      </c>
    </row>
    <row r="121" spans="1:10">
      <c r="A121" s="1">
        <v>118</v>
      </c>
      <c r="B121" s="3">
        <v>2E+19</v>
      </c>
      <c r="C121" s="3">
        <f t="shared" si="8"/>
        <v>174752100</v>
      </c>
      <c r="D121" s="2">
        <f t="shared" si="7"/>
        <v>0.91081511015985028</v>
      </c>
      <c r="E121" s="2">
        <f t="shared" si="9"/>
        <v>3134839016519453</v>
      </c>
      <c r="F121" s="1"/>
      <c r="G121" s="1">
        <v>0</v>
      </c>
      <c r="H121" s="1">
        <v>0</v>
      </c>
      <c r="I121">
        <v>1.4E-2</v>
      </c>
      <c r="J121">
        <f t="shared" si="10"/>
        <v>-5931505590.6787939</v>
      </c>
    </row>
    <row r="122" spans="1:10">
      <c r="A122" s="1">
        <v>119</v>
      </c>
      <c r="B122" s="3">
        <v>2E+19</v>
      </c>
      <c r="C122" s="3">
        <f t="shared" si="8"/>
        <v>176233050</v>
      </c>
      <c r="D122" s="2">
        <f t="shared" si="7"/>
        <v>0.91678677624260418</v>
      </c>
      <c r="E122" s="2">
        <f t="shared" si="9"/>
        <v>2985833041376950.5</v>
      </c>
      <c r="F122" s="1"/>
      <c r="G122" s="1">
        <v>0</v>
      </c>
      <c r="H122" s="1">
        <v>0</v>
      </c>
      <c r="I122">
        <v>1.4E-2</v>
      </c>
      <c r="J122">
        <f t="shared" si="10"/>
        <v>-9726643330.7260113</v>
      </c>
    </row>
    <row r="123" spans="1:10">
      <c r="A123" s="1">
        <v>120</v>
      </c>
      <c r="B123" s="3">
        <v>2E+19</v>
      </c>
      <c r="C123" s="3">
        <f t="shared" si="8"/>
        <v>177714000</v>
      </c>
      <c r="D123" s="2">
        <f t="shared" si="7"/>
        <v>0.92246583446335029</v>
      </c>
      <c r="E123" s="2">
        <f t="shared" si="9"/>
        <v>2839529110373051.5</v>
      </c>
      <c r="F123" s="1"/>
      <c r="G123" s="1">
        <f t="shared" ref="G123:G128" si="11">B$2*0</f>
        <v>0</v>
      </c>
      <c r="H123" s="1">
        <v>0</v>
      </c>
      <c r="I123">
        <v>1.4E-2</v>
      </c>
      <c r="J123">
        <f t="shared" si="10"/>
        <v>-5604265310.6042595</v>
      </c>
    </row>
    <row r="124" spans="1:10">
      <c r="A124" s="1">
        <v>121</v>
      </c>
      <c r="B124" s="3">
        <v>2E+19</v>
      </c>
      <c r="C124" s="3">
        <f t="shared" si="8"/>
        <v>179194950</v>
      </c>
      <c r="D124" s="2">
        <f t="shared" si="7"/>
        <v>0.92785823396561307</v>
      </c>
      <c r="E124" s="2">
        <f t="shared" si="9"/>
        <v>2696199751131389.5</v>
      </c>
      <c r="F124" s="1"/>
      <c r="G124" s="1">
        <f t="shared" si="11"/>
        <v>0</v>
      </c>
      <c r="H124" s="1">
        <v>0</v>
      </c>
      <c r="I124">
        <v>1.4E-2</v>
      </c>
      <c r="J124">
        <f t="shared" si="10"/>
        <v>-6588726848.6214228</v>
      </c>
    </row>
    <row r="125" spans="1:10">
      <c r="A125" s="1">
        <v>122</v>
      </c>
      <c r="B125" s="3">
        <v>2E+19</v>
      </c>
      <c r="C125" s="3">
        <f t="shared" si="8"/>
        <v>180675900</v>
      </c>
      <c r="D125" s="2">
        <f t="shared" si="7"/>
        <v>0.93297042513553197</v>
      </c>
      <c r="E125" s="2">
        <f t="shared" si="9"/>
        <v>2556095584959450</v>
      </c>
      <c r="F125" s="1"/>
      <c r="G125" s="1">
        <f t="shared" si="11"/>
        <v>0</v>
      </c>
      <c r="H125" s="1">
        <v>0</v>
      </c>
      <c r="I125">
        <v>1.4E-2</v>
      </c>
      <c r="J125">
        <f t="shared" si="10"/>
        <v>-6509508613.3658161</v>
      </c>
    </row>
    <row r="126" spans="1:10">
      <c r="A126" s="1">
        <v>123</v>
      </c>
      <c r="B126" s="3">
        <v>2E+19</v>
      </c>
      <c r="C126" s="3">
        <f t="shared" si="8"/>
        <v>182156850</v>
      </c>
      <c r="D126" s="2">
        <f t="shared" si="7"/>
        <v>0.93780931462365302</v>
      </c>
      <c r="E126" s="2">
        <f t="shared" si="9"/>
        <v>2419444744060528</v>
      </c>
      <c r="F126" s="1"/>
      <c r="G126" s="1">
        <f t="shared" si="11"/>
        <v>0</v>
      </c>
      <c r="H126" s="1">
        <v>0</v>
      </c>
      <c r="I126">
        <v>1.4E-2</v>
      </c>
      <c r="J126">
        <f t="shared" si="10"/>
        <v>-6414247426.0863419</v>
      </c>
    </row>
    <row r="127" spans="1:10">
      <c r="A127" s="1">
        <v>124</v>
      </c>
      <c r="B127" s="3">
        <v>2E+19</v>
      </c>
      <c r="C127" s="3">
        <f t="shared" si="8"/>
        <v>183637800</v>
      </c>
      <c r="D127" s="2">
        <f t="shared" si="7"/>
        <v>0.94238221953203638</v>
      </c>
      <c r="E127" s="2">
        <f t="shared" si="9"/>
        <v>2286452454191678.5</v>
      </c>
      <c r="F127" s="1"/>
      <c r="G127" s="1">
        <f t="shared" si="11"/>
        <v>0</v>
      </c>
      <c r="H127" s="1">
        <v>0</v>
      </c>
      <c r="I127">
        <v>1.4E-2</v>
      </c>
      <c r="J127">
        <f t="shared" si="10"/>
        <v>-6304511471.5009546</v>
      </c>
    </row>
    <row r="128" spans="1:10">
      <c r="A128" s="1">
        <v>125</v>
      </c>
      <c r="B128" s="3">
        <v>2E+19</v>
      </c>
      <c r="C128" s="3">
        <f t="shared" si="8"/>
        <v>185118750</v>
      </c>
      <c r="D128" s="2">
        <f t="shared" si="7"/>
        <v>0.9466968210961425</v>
      </c>
      <c r="E128" s="2">
        <f t="shared" si="9"/>
        <v>2157300782053062</v>
      </c>
      <c r="F128" s="1"/>
      <c r="G128" s="1">
        <f t="shared" si="11"/>
        <v>0</v>
      </c>
      <c r="H128" s="1">
        <v>0</v>
      </c>
      <c r="I128">
        <v>1.4E-2</v>
      </c>
      <c r="J128">
        <f t="shared" si="10"/>
        <v>-6181011220.7683525</v>
      </c>
    </row>
    <row r="129" spans="1:10">
      <c r="A129" s="1">
        <v>126.663586</v>
      </c>
      <c r="B129" s="3">
        <v>2E+19</v>
      </c>
      <c r="C129" s="3">
        <f t="shared" si="8"/>
        <v>187582437.68669999</v>
      </c>
      <c r="D129" s="2">
        <f t="shared" si="7"/>
        <v>0.95332401238675746</v>
      </c>
      <c r="E129" s="2">
        <f t="shared" si="9"/>
        <v>1991839102581703.8</v>
      </c>
      <c r="F129" s="1"/>
      <c r="G129" s="1">
        <v>0.43035520599999999</v>
      </c>
      <c r="H129" s="1">
        <v>0.43035520599999999</v>
      </c>
      <c r="I129">
        <v>1.4E-2</v>
      </c>
      <c r="J129">
        <f t="shared" si="10"/>
        <v>-6044862066.9460964</v>
      </c>
    </row>
    <row r="130" spans="1:10">
      <c r="A130" s="1">
        <v>127</v>
      </c>
      <c r="B130" s="3">
        <v>2E+19</v>
      </c>
      <c r="C130" s="3">
        <f t="shared" si="8"/>
        <v>188080650</v>
      </c>
      <c r="D130" s="2">
        <f t="shared" ref="D130:D193" si="12">1-EXP(-0.000000277*A130^3.35)</f>
        <v>0.95458338094716422</v>
      </c>
      <c r="E130" s="2">
        <f t="shared" si="9"/>
        <v>1871754089316647.5</v>
      </c>
      <c r="F130" s="1"/>
      <c r="G130" s="1">
        <f t="shared" ref="G130:G139" si="13">B$2*0</f>
        <v>0</v>
      </c>
      <c r="H130" s="1">
        <v>0</v>
      </c>
      <c r="I130">
        <v>1.4E-2</v>
      </c>
      <c r="J130">
        <f t="shared" si="10"/>
        <v>-5897174342.2421293</v>
      </c>
    </row>
    <row r="131" spans="1:10">
      <c r="A131" s="1">
        <v>128</v>
      </c>
      <c r="B131" s="3">
        <v>2E+19</v>
      </c>
      <c r="C131" s="3">
        <f t="shared" ref="C131:C194" si="14">1000000*(A131*10970*24*3600)/(B131*0.000000000032)</f>
        <v>189561600</v>
      </c>
      <c r="D131" s="2">
        <f t="shared" si="12"/>
        <v>0.95817210487909288</v>
      </c>
      <c r="E131" s="2">
        <f t="shared" ref="E131:E194" si="15">500000000000000000*(D131-D130)/(A131-A130)</f>
        <v>1794361965964330.5</v>
      </c>
      <c r="F131" s="1"/>
      <c r="G131" s="1">
        <f t="shared" si="13"/>
        <v>0</v>
      </c>
      <c r="H131" s="1">
        <v>0</v>
      </c>
      <c r="I131">
        <v>1.4E-2</v>
      </c>
      <c r="J131">
        <f t="shared" si="10"/>
        <v>-4573289543.1253557</v>
      </c>
    </row>
    <row r="132" spans="1:10">
      <c r="A132" s="1">
        <v>129</v>
      </c>
      <c r="B132" s="3">
        <v>2E+19</v>
      </c>
      <c r="C132" s="3">
        <f t="shared" si="14"/>
        <v>191042550</v>
      </c>
      <c r="D132" s="2">
        <f t="shared" si="12"/>
        <v>0.96153596566047506</v>
      </c>
      <c r="E132" s="2">
        <f t="shared" si="15"/>
        <v>1681930390691088.8</v>
      </c>
      <c r="F132" s="1"/>
      <c r="G132" s="1">
        <f t="shared" si="13"/>
        <v>0</v>
      </c>
      <c r="H132" s="1">
        <v>0</v>
      </c>
      <c r="I132">
        <v>1.4E-2</v>
      </c>
      <c r="J132">
        <f t="shared" si="10"/>
        <v>-16433150316.432409</v>
      </c>
    </row>
    <row r="133" spans="1:10">
      <c r="A133" s="1">
        <v>130</v>
      </c>
      <c r="B133" s="3">
        <v>2E+19</v>
      </c>
      <c r="C133" s="3">
        <f t="shared" si="14"/>
        <v>192523500</v>
      </c>
      <c r="D133" s="2">
        <f t="shared" si="12"/>
        <v>0.9646837749841749</v>
      </c>
      <c r="E133" s="2">
        <f t="shared" si="15"/>
        <v>1573904661849923</v>
      </c>
      <c r="F133" s="1"/>
      <c r="G133" s="1">
        <f t="shared" si="13"/>
        <v>0</v>
      </c>
      <c r="H133" s="1">
        <v>0</v>
      </c>
      <c r="I133">
        <v>1.4E-2</v>
      </c>
      <c r="J133">
        <f t="shared" si="10"/>
        <v>-3576724119.3526773</v>
      </c>
    </row>
    <row r="134" spans="1:10">
      <c r="A134" s="1">
        <v>131</v>
      </c>
      <c r="B134" s="3">
        <v>2E+19</v>
      </c>
      <c r="C134" s="3">
        <f t="shared" si="14"/>
        <v>194004450</v>
      </c>
      <c r="D134" s="2">
        <f t="shared" si="12"/>
        <v>0.96762443767162964</v>
      </c>
      <c r="E134" s="2">
        <f t="shared" si="15"/>
        <v>1470331343727371.3</v>
      </c>
      <c r="F134" s="1"/>
      <c r="G134" s="1">
        <f t="shared" si="13"/>
        <v>0</v>
      </c>
      <c r="H134" s="1">
        <v>0</v>
      </c>
      <c r="I134">
        <v>1.4E-2</v>
      </c>
      <c r="J134">
        <f t="shared" si="10"/>
        <v>-5214141619.9547615</v>
      </c>
    </row>
    <row r="135" spans="1:10">
      <c r="A135" s="1">
        <v>132</v>
      </c>
      <c r="B135" s="3">
        <v>2E+19</v>
      </c>
      <c r="C135" s="3">
        <f t="shared" si="14"/>
        <v>195485400</v>
      </c>
      <c r="D135" s="2">
        <f t="shared" si="12"/>
        <v>0.97036691030416022</v>
      </c>
      <c r="E135" s="2">
        <f t="shared" si="15"/>
        <v>1371236316265289.8</v>
      </c>
      <c r="F135" s="1"/>
      <c r="G135" s="1">
        <f t="shared" si="13"/>
        <v>0</v>
      </c>
      <c r="H135" s="1">
        <v>0</v>
      </c>
      <c r="I135">
        <v>1.4E-2</v>
      </c>
      <c r="J135">
        <f t="shared" si="10"/>
        <v>-5026796228.6756287</v>
      </c>
    </row>
    <row r="136" spans="1:10">
      <c r="A136" s="1">
        <v>133</v>
      </c>
      <c r="B136" s="3">
        <v>2E+19</v>
      </c>
      <c r="C136" s="3">
        <f t="shared" si="14"/>
        <v>196966350</v>
      </c>
      <c r="D136" s="2">
        <f t="shared" si="12"/>
        <v>0.972920161590629</v>
      </c>
      <c r="E136" s="2">
        <f t="shared" si="15"/>
        <v>1276625643234386</v>
      </c>
      <c r="F136" s="1"/>
      <c r="G136" s="1">
        <f t="shared" si="13"/>
        <v>0</v>
      </c>
      <c r="H136" s="1">
        <v>0</v>
      </c>
      <c r="I136">
        <v>1.4E-2</v>
      </c>
      <c r="J136">
        <f t="shared" si="10"/>
        <v>-4833712757.6160421</v>
      </c>
    </row>
    <row r="137" spans="1:10">
      <c r="A137" s="1">
        <v>134</v>
      </c>
      <c r="B137" s="3">
        <v>2E+19</v>
      </c>
      <c r="C137" s="3">
        <f t="shared" si="14"/>
        <v>198447300</v>
      </c>
      <c r="D137" s="2">
        <f t="shared" si="12"/>
        <v>0.97529313466741985</v>
      </c>
      <c r="E137" s="2">
        <f t="shared" si="15"/>
        <v>1186486538395426</v>
      </c>
      <c r="F137" s="1"/>
      <c r="G137" s="1">
        <f t="shared" si="13"/>
        <v>0</v>
      </c>
      <c r="H137" s="1">
        <v>0</v>
      </c>
      <c r="I137">
        <v>1.4E-2</v>
      </c>
      <c r="J137">
        <f t="shared" si="10"/>
        <v>-4637906742.2823963</v>
      </c>
    </row>
    <row r="138" spans="1:10">
      <c r="A138" s="1">
        <v>135</v>
      </c>
      <c r="B138" s="3">
        <v>2E+19</v>
      </c>
      <c r="C138" s="3">
        <f t="shared" si="14"/>
        <v>199928250</v>
      </c>
      <c r="D138" s="2">
        <f t="shared" si="12"/>
        <v>0.97749471150252798</v>
      </c>
      <c r="E138" s="2">
        <f t="shared" si="15"/>
        <v>1100788417554066.1</v>
      </c>
      <c r="F138" s="1"/>
      <c r="G138" s="1">
        <f t="shared" si="13"/>
        <v>0</v>
      </c>
      <c r="H138" s="1">
        <v>0</v>
      </c>
      <c r="I138">
        <v>1.4E-2</v>
      </c>
      <c r="J138">
        <f t="shared" si="10"/>
        <v>-4439680051.3956928</v>
      </c>
    </row>
    <row r="139" spans="1:10">
      <c r="A139" s="1">
        <v>136</v>
      </c>
      <c r="B139" s="3">
        <v>2E+19</v>
      </c>
      <c r="C139" s="3">
        <f t="shared" si="14"/>
        <v>201409200</v>
      </c>
      <c r="D139" s="2">
        <f t="shared" si="12"/>
        <v>0.97953367955058457</v>
      </c>
      <c r="E139" s="2">
        <f t="shared" si="15"/>
        <v>1019484024028294.3</v>
      </c>
      <c r="F139" s="1"/>
      <c r="G139" s="1">
        <f t="shared" si="13"/>
        <v>0</v>
      </c>
      <c r="H139" s="1">
        <v>0</v>
      </c>
      <c r="I139">
        <v>1.4E-2</v>
      </c>
      <c r="J139">
        <f t="shared" si="10"/>
        <v>-4240166479.0835524</v>
      </c>
    </row>
    <row r="140" spans="1:10">
      <c r="A140" s="1">
        <v>137.01478739999999</v>
      </c>
      <c r="B140" s="3">
        <v>2E+19</v>
      </c>
      <c r="C140" s="3">
        <f t="shared" si="14"/>
        <v>202912049.40002999</v>
      </c>
      <c r="D140" s="2">
        <f t="shared" si="12"/>
        <v>0.98144546335785643</v>
      </c>
      <c r="E140" s="2">
        <f t="shared" si="15"/>
        <v>941962724050319.25</v>
      </c>
      <c r="F140" s="1"/>
      <c r="G140" s="1">
        <v>0.31134432499999998</v>
      </c>
      <c r="H140" s="1">
        <v>0.31134432499999998</v>
      </c>
      <c r="I140">
        <v>1.4E-2</v>
      </c>
      <c r="J140">
        <f t="shared" si="10"/>
        <v>-4040362964.5021114</v>
      </c>
    </row>
    <row r="141" spans="1:10">
      <c r="A141" s="1">
        <v>138</v>
      </c>
      <c r="B141" s="3">
        <v>2E+19</v>
      </c>
      <c r="C141" s="3">
        <f t="shared" si="14"/>
        <v>204371100</v>
      </c>
      <c r="D141" s="2">
        <f t="shared" si="12"/>
        <v>0.98315828316883902</v>
      </c>
      <c r="E141" s="2">
        <f t="shared" si="15"/>
        <v>869264060864919.63</v>
      </c>
      <c r="F141" s="1"/>
      <c r="G141" s="1">
        <f t="shared" ref="G141:G150" si="16">B$2*0</f>
        <v>0</v>
      </c>
      <c r="H141" s="1">
        <v>0</v>
      </c>
      <c r="I141">
        <v>1.4E-2</v>
      </c>
      <c r="J141">
        <f t="shared" si="10"/>
        <v>-3841211491.7783308</v>
      </c>
    </row>
    <row r="142" spans="1:10">
      <c r="A142" s="1">
        <v>139</v>
      </c>
      <c r="B142" s="3">
        <v>2E+19</v>
      </c>
      <c r="C142" s="3">
        <f t="shared" si="14"/>
        <v>205852050</v>
      </c>
      <c r="D142" s="2">
        <f t="shared" si="12"/>
        <v>0.98476075473657654</v>
      </c>
      <c r="E142" s="2">
        <f t="shared" si="15"/>
        <v>801235783868758.88</v>
      </c>
      <c r="F142" s="1"/>
      <c r="G142" s="1">
        <f t="shared" si="16"/>
        <v>0</v>
      </c>
      <c r="H142" s="1">
        <v>0</v>
      </c>
      <c r="I142">
        <v>1.4E-2</v>
      </c>
      <c r="J142">
        <f t="shared" si="10"/>
        <v>-3616157042.6011801</v>
      </c>
    </row>
    <row r="143" spans="1:10">
      <c r="A143" s="1">
        <v>140</v>
      </c>
      <c r="B143" s="3">
        <v>2E+19</v>
      </c>
      <c r="C143" s="3">
        <f t="shared" si="14"/>
        <v>207333000</v>
      </c>
      <c r="D143" s="2">
        <f t="shared" si="12"/>
        <v>0.98623424016150141</v>
      </c>
      <c r="E143" s="2">
        <f t="shared" si="15"/>
        <v>736742712462434.88</v>
      </c>
      <c r="F143" s="1"/>
      <c r="G143" s="1">
        <f t="shared" si="16"/>
        <v>0</v>
      </c>
      <c r="H143" s="1">
        <v>0</v>
      </c>
      <c r="I143">
        <v>1.4E-2</v>
      </c>
      <c r="J143">
        <f t="shared" si="10"/>
        <v>-3499087212.859405</v>
      </c>
    </row>
    <row r="144" spans="1:10">
      <c r="A144" s="1">
        <v>141</v>
      </c>
      <c r="B144" s="3">
        <v>2E+19</v>
      </c>
      <c r="C144" s="3">
        <f t="shared" si="14"/>
        <v>208813950</v>
      </c>
      <c r="D144" s="2">
        <f t="shared" si="12"/>
        <v>0.98758663999930751</v>
      </c>
      <c r="E144" s="2">
        <f t="shared" si="15"/>
        <v>676199918903053.25</v>
      </c>
      <c r="F144" s="1"/>
      <c r="G144" s="1">
        <f t="shared" si="16"/>
        <v>0</v>
      </c>
      <c r="H144" s="1">
        <v>0</v>
      </c>
      <c r="I144">
        <v>1.4E-2</v>
      </c>
      <c r="J144">
        <f t="shared" si="10"/>
        <v>-3231139638.6499634</v>
      </c>
    </row>
    <row r="145" spans="1:10">
      <c r="A145" s="1">
        <v>142</v>
      </c>
      <c r="B145" s="3">
        <v>2E+19</v>
      </c>
      <c r="C145" s="3">
        <f t="shared" si="14"/>
        <v>210294900</v>
      </c>
      <c r="D145" s="2">
        <f t="shared" si="12"/>
        <v>0.98882561250266199</v>
      </c>
      <c r="E145" s="2">
        <f t="shared" si="15"/>
        <v>619486251677237</v>
      </c>
      <c r="F145" s="1"/>
      <c r="G145" s="1">
        <f t="shared" si="16"/>
        <v>0</v>
      </c>
      <c r="H145" s="1">
        <v>0</v>
      </c>
      <c r="I145">
        <v>1.4E-2</v>
      </c>
      <c r="J145">
        <f t="shared" si="10"/>
        <v>-3067809929.9778633</v>
      </c>
    </row>
    <row r="146" spans="1:10">
      <c r="A146" s="1">
        <v>143</v>
      </c>
      <c r="B146" s="3">
        <v>2E+19</v>
      </c>
      <c r="C146" s="3">
        <f t="shared" si="14"/>
        <v>211775850</v>
      </c>
      <c r="D146" s="2">
        <f t="shared" si="12"/>
        <v>0.98995855801527888</v>
      </c>
      <c r="E146" s="2">
        <f t="shared" si="15"/>
        <v>566472756308444.88</v>
      </c>
      <c r="F146" s="1"/>
      <c r="G146" s="1">
        <f t="shared" si="16"/>
        <v>0</v>
      </c>
      <c r="H146" s="1">
        <v>0</v>
      </c>
      <c r="I146">
        <v>1.4E-2</v>
      </c>
      <c r="J146">
        <f t="shared" si="10"/>
        <v>-2883856853.3634739</v>
      </c>
    </row>
    <row r="147" spans="1:10">
      <c r="A147" s="1">
        <v>144</v>
      </c>
      <c r="B147" s="3">
        <v>2E+19</v>
      </c>
      <c r="C147" s="3">
        <f t="shared" si="14"/>
        <v>213256800</v>
      </c>
      <c r="D147" s="2">
        <f t="shared" si="12"/>
        <v>0.99099260589415972</v>
      </c>
      <c r="E147" s="2">
        <f t="shared" si="15"/>
        <v>517023939440419.69</v>
      </c>
      <c r="F147" s="1"/>
      <c r="G147" s="1">
        <f t="shared" si="16"/>
        <v>0</v>
      </c>
      <c r="H147" s="1">
        <v>0</v>
      </c>
      <c r="I147">
        <v>1.4E-2</v>
      </c>
      <c r="J147">
        <f t="shared" si="10"/>
        <v>-2704849349.6997027</v>
      </c>
    </row>
    <row r="148" spans="1:10">
      <c r="A148" s="1">
        <v>145</v>
      </c>
      <c r="B148" s="3">
        <v>2E+19</v>
      </c>
      <c r="C148" s="3">
        <f t="shared" si="14"/>
        <v>214737750</v>
      </c>
      <c r="D148" s="2">
        <f t="shared" si="12"/>
        <v>0.99193460389413035</v>
      </c>
      <c r="E148" s="2">
        <f t="shared" si="15"/>
        <v>470998999985317</v>
      </c>
      <c r="F148" s="1"/>
      <c r="G148" s="1">
        <f t="shared" si="16"/>
        <v>0</v>
      </c>
      <c r="H148" s="1">
        <v>0</v>
      </c>
      <c r="I148">
        <v>1.4E-2</v>
      </c>
      <c r="J148">
        <f t="shared" si="10"/>
        <v>-2531275772.0573683</v>
      </c>
    </row>
    <row r="149" spans="1:10">
      <c r="A149" s="1">
        <v>146</v>
      </c>
      <c r="B149" s="3">
        <v>2E+19</v>
      </c>
      <c r="C149" s="3">
        <f t="shared" si="14"/>
        <v>216218700</v>
      </c>
      <c r="D149" s="2">
        <f t="shared" si="12"/>
        <v>0.99279110993112829</v>
      </c>
      <c r="E149" s="2">
        <f t="shared" si="15"/>
        <v>428253018498969.69</v>
      </c>
      <c r="F149" s="1"/>
      <c r="G149" s="1">
        <f t="shared" si="16"/>
        <v>0</v>
      </c>
      <c r="H149" s="1">
        <v>0</v>
      </c>
      <c r="I149">
        <v>1.4E-2</v>
      </c>
      <c r="J149">
        <f t="shared" si="10"/>
        <v>-2363537507.5734763</v>
      </c>
    </row>
    <row r="150" spans="1:10">
      <c r="A150" s="1">
        <v>147</v>
      </c>
      <c r="B150" s="3">
        <v>2E+19</v>
      </c>
      <c r="C150" s="3">
        <f t="shared" si="14"/>
        <v>217699650</v>
      </c>
      <c r="D150" s="2">
        <f t="shared" si="12"/>
        <v>0.99356838612488019</v>
      </c>
      <c r="E150" s="2">
        <f t="shared" si="15"/>
        <v>388638096875948.44</v>
      </c>
      <c r="F150" s="1"/>
      <c r="G150" s="1">
        <f t="shared" si="16"/>
        <v>0</v>
      </c>
      <c r="H150" s="1">
        <v>0</v>
      </c>
      <c r="I150">
        <v>1.4E-2</v>
      </c>
      <c r="J150">
        <f t="shared" si="10"/>
        <v>-2201976190.9974451</v>
      </c>
    </row>
    <row r="151" spans="1:10">
      <c r="A151" s="1">
        <v>148.98336409999999</v>
      </c>
      <c r="B151" s="3">
        <v>2E+19</v>
      </c>
      <c r="C151" s="3">
        <f t="shared" si="14"/>
        <v>220636913.06389499</v>
      </c>
      <c r="D151" s="2">
        <f t="shared" si="12"/>
        <v>0.99489873423288055</v>
      </c>
      <c r="E151" s="2">
        <f t="shared" si="15"/>
        <v>335376673400606.38</v>
      </c>
      <c r="F151" s="1"/>
      <c r="G151" s="1">
        <v>0.24672288000000001</v>
      </c>
      <c r="H151" s="1">
        <v>0.24672288000000001</v>
      </c>
      <c r="I151">
        <v>1.4E-2</v>
      </c>
      <c r="J151">
        <f t="shared" si="10"/>
        <v>-2046867349.3051739</v>
      </c>
    </row>
    <row r="152" spans="1:10">
      <c r="A152" s="1">
        <v>149</v>
      </c>
      <c r="B152" s="3">
        <v>2E+19</v>
      </c>
      <c r="C152" s="3">
        <f t="shared" si="14"/>
        <v>220661550</v>
      </c>
      <c r="D152" s="2">
        <f t="shared" si="12"/>
        <v>0.99490879777461294</v>
      </c>
      <c r="E152" s="2">
        <f t="shared" si="15"/>
        <v>302464601625968.5</v>
      </c>
      <c r="F152" s="1"/>
      <c r="G152" s="1">
        <v>0</v>
      </c>
      <c r="H152" s="1">
        <v>0</v>
      </c>
      <c r="I152">
        <v>1.4E-2</v>
      </c>
      <c r="J152">
        <f t="shared" si="10"/>
        <v>-1898424218.8526459</v>
      </c>
    </row>
    <row r="153" spans="1:10">
      <c r="A153" s="1">
        <v>150</v>
      </c>
      <c r="B153" s="3">
        <v>2E+19</v>
      </c>
      <c r="C153" s="3">
        <f t="shared" si="14"/>
        <v>222142500</v>
      </c>
      <c r="D153" s="2">
        <f t="shared" si="12"/>
        <v>0.99548295443901857</v>
      </c>
      <c r="E153" s="2">
        <f t="shared" si="15"/>
        <v>287078332202817</v>
      </c>
      <c r="F153" s="1"/>
      <c r="G153" s="1">
        <v>0</v>
      </c>
      <c r="H153" s="1">
        <v>0</v>
      </c>
      <c r="I153">
        <v>1.4E-2</v>
      </c>
      <c r="J153">
        <f t="shared" si="10"/>
        <v>-1288630046.6135027</v>
      </c>
    </row>
    <row r="154" spans="1:10">
      <c r="A154" s="1">
        <v>151</v>
      </c>
      <c r="B154" s="3">
        <v>2E+19</v>
      </c>
      <c r="C154" s="3">
        <f t="shared" si="14"/>
        <v>223623450</v>
      </c>
      <c r="D154" s="2">
        <f t="shared" si="12"/>
        <v>0.99599992575268048</v>
      </c>
      <c r="E154" s="2">
        <f t="shared" si="15"/>
        <v>258485656830953.47</v>
      </c>
      <c r="F154" s="1"/>
      <c r="G154" s="1">
        <v>0</v>
      </c>
      <c r="H154" s="1">
        <v>0</v>
      </c>
      <c r="I154">
        <v>1.4E-2</v>
      </c>
      <c r="J154">
        <f t="shared" si="10"/>
        <v>-94665907268.205139</v>
      </c>
    </row>
    <row r="155" spans="1:10">
      <c r="A155" s="1">
        <v>152</v>
      </c>
      <c r="B155" s="3">
        <v>2E+19</v>
      </c>
      <c r="C155" s="3">
        <f t="shared" si="14"/>
        <v>225104400</v>
      </c>
      <c r="D155" s="2">
        <f t="shared" si="12"/>
        <v>0.99646447674012861</v>
      </c>
      <c r="E155" s="2">
        <f t="shared" si="15"/>
        <v>232275493724065.63</v>
      </c>
      <c r="F155" s="1"/>
      <c r="G155" s="1">
        <v>0</v>
      </c>
      <c r="H155" s="1">
        <v>0</v>
      </c>
      <c r="I155">
        <v>1.4E-2</v>
      </c>
      <c r="J155">
        <f t="shared" si="10"/>
        <v>-738808031.49237943</v>
      </c>
    </row>
    <row r="156" spans="1:10">
      <c r="A156" s="1">
        <v>153.18853970000001</v>
      </c>
      <c r="B156" s="3">
        <v>2E+19</v>
      </c>
      <c r="C156" s="3">
        <f t="shared" si="14"/>
        <v>226864567.86871499</v>
      </c>
      <c r="D156" s="2">
        <f t="shared" si="12"/>
        <v>0.99695460333929042</v>
      </c>
      <c r="E156" s="2">
        <f t="shared" si="15"/>
        <v>206188568695605.22</v>
      </c>
      <c r="F156" s="1"/>
      <c r="G156" s="1">
        <v>0.17211526399999999</v>
      </c>
      <c r="H156" s="1">
        <v>0.17211526399999999</v>
      </c>
      <c r="I156">
        <v>1.4E-2</v>
      </c>
      <c r="J156">
        <f t="shared" si="10"/>
        <v>-1373549682.2894039</v>
      </c>
    </row>
    <row r="157" spans="1:10">
      <c r="A157" s="1">
        <v>154</v>
      </c>
      <c r="B157" s="3">
        <v>2E+19</v>
      </c>
      <c r="C157" s="3">
        <f t="shared" si="14"/>
        <v>228066300</v>
      </c>
      <c r="D157" s="2">
        <f t="shared" si="12"/>
        <v>0.99725393049166089</v>
      </c>
      <c r="E157" s="2">
        <f t="shared" si="15"/>
        <v>184437336226102.53</v>
      </c>
      <c r="F157" s="1"/>
      <c r="G157" s="1">
        <f t="shared" ref="G157:G176" si="17">B$2*0</f>
        <v>0</v>
      </c>
      <c r="H157" s="1">
        <v>0</v>
      </c>
      <c r="I157">
        <v>1.4E-2</v>
      </c>
      <c r="J157">
        <f t="shared" si="10"/>
        <v>-1264193262.9915948</v>
      </c>
    </row>
    <row r="158" spans="1:10">
      <c r="A158" s="1">
        <v>155</v>
      </c>
      <c r="B158" s="3">
        <v>2E+19</v>
      </c>
      <c r="C158" s="3">
        <f t="shared" si="14"/>
        <v>229547250</v>
      </c>
      <c r="D158" s="2">
        <f t="shared" si="12"/>
        <v>0.99758693603446569</v>
      </c>
      <c r="E158" s="2">
        <f t="shared" si="15"/>
        <v>166502771402399.22</v>
      </c>
      <c r="F158" s="1"/>
      <c r="G158" s="1">
        <f t="shared" si="17"/>
        <v>0</v>
      </c>
      <c r="H158" s="1">
        <v>0</v>
      </c>
      <c r="I158">
        <v>1.4E-2</v>
      </c>
      <c r="J158">
        <f t="shared" si="10"/>
        <v>-1055384865.7402226</v>
      </c>
    </row>
    <row r="159" spans="1:10">
      <c r="A159" s="1">
        <v>156</v>
      </c>
      <c r="B159" s="3">
        <v>2E+19</v>
      </c>
      <c r="C159" s="3">
        <f t="shared" si="14"/>
        <v>231028200</v>
      </c>
      <c r="D159" s="2">
        <f t="shared" si="12"/>
        <v>0.99788374273088443</v>
      </c>
      <c r="E159" s="2">
        <f t="shared" si="15"/>
        <v>148403348209369.41</v>
      </c>
      <c r="F159" s="1"/>
      <c r="G159" s="1">
        <f t="shared" si="17"/>
        <v>0</v>
      </c>
      <c r="H159" s="1">
        <v>0</v>
      </c>
      <c r="I159">
        <v>1.4E-2</v>
      </c>
      <c r="J159">
        <f t="shared" si="10"/>
        <v>-1289304814.5978062</v>
      </c>
    </row>
    <row r="160" spans="1:10">
      <c r="A160" s="1">
        <v>157</v>
      </c>
      <c r="B160" s="3">
        <v>2E+19</v>
      </c>
      <c r="C160" s="3">
        <f t="shared" si="14"/>
        <v>232509150</v>
      </c>
      <c r="D160" s="2">
        <f t="shared" si="12"/>
        <v>0.99814773579981053</v>
      </c>
      <c r="E160" s="2">
        <f t="shared" si="15"/>
        <v>131996534463052.48</v>
      </c>
      <c r="F160" s="1"/>
      <c r="G160" s="1">
        <f t="shared" si="17"/>
        <v>0</v>
      </c>
      <c r="H160" s="1">
        <v>0</v>
      </c>
      <c r="I160">
        <v>1.4E-2</v>
      </c>
      <c r="J160">
        <f t="shared" si="10"/>
        <v>-862944578.05919123</v>
      </c>
    </row>
    <row r="161" spans="1:10">
      <c r="A161" s="1">
        <v>158</v>
      </c>
      <c r="B161" s="3">
        <v>2E+19</v>
      </c>
      <c r="C161" s="3">
        <f t="shared" si="14"/>
        <v>233990100</v>
      </c>
      <c r="D161" s="2">
        <f t="shared" si="12"/>
        <v>0.99838205129319446</v>
      </c>
      <c r="E161" s="2">
        <f t="shared" si="15"/>
        <v>117157746691964.88</v>
      </c>
      <c r="F161" s="1"/>
      <c r="G161" s="1">
        <f t="shared" si="17"/>
        <v>0</v>
      </c>
      <c r="H161" s="1">
        <v>0</v>
      </c>
      <c r="I161">
        <v>1.4E-2</v>
      </c>
      <c r="J161">
        <f t="shared" si="10"/>
        <v>-871125407.75413227</v>
      </c>
    </row>
    <row r="162" spans="1:10">
      <c r="A162" s="1">
        <v>159</v>
      </c>
      <c r="B162" s="3">
        <v>2E+19</v>
      </c>
      <c r="C162" s="3">
        <f t="shared" si="14"/>
        <v>235471050</v>
      </c>
      <c r="D162" s="2">
        <f t="shared" si="12"/>
        <v>0.99858958668363063</v>
      </c>
      <c r="E162" s="2">
        <f t="shared" si="15"/>
        <v>103767695218082.16</v>
      </c>
      <c r="F162" s="1"/>
      <c r="G162" s="1">
        <f t="shared" si="17"/>
        <v>0</v>
      </c>
      <c r="H162" s="1">
        <v>0</v>
      </c>
      <c r="I162">
        <v>1.4E-2</v>
      </c>
      <c r="J162">
        <f t="shared" si="10"/>
        <v>-789885035.78080964</v>
      </c>
    </row>
    <row r="163" spans="1:10">
      <c r="A163" s="1">
        <v>160</v>
      </c>
      <c r="B163" s="3">
        <v>2E+19</v>
      </c>
      <c r="C163" s="3">
        <f t="shared" si="14"/>
        <v>236952000</v>
      </c>
      <c r="D163" s="2">
        <f t="shared" si="12"/>
        <v>0.99877301188617063</v>
      </c>
      <c r="E163" s="2">
        <f t="shared" si="15"/>
        <v>91712601269999.813</v>
      </c>
      <c r="F163" s="1"/>
      <c r="G163" s="1">
        <f t="shared" si="17"/>
        <v>0</v>
      </c>
      <c r="H163" s="1">
        <v>0</v>
      </c>
      <c r="I163">
        <v>1.4E-2</v>
      </c>
      <c r="J163">
        <f t="shared" si="10"/>
        <v>-714547504.28907061</v>
      </c>
    </row>
    <row r="164" spans="1:10">
      <c r="A164" s="1">
        <v>161</v>
      </c>
      <c r="B164" s="3">
        <v>2E+19</v>
      </c>
      <c r="C164" s="3">
        <f t="shared" si="14"/>
        <v>238432950</v>
      </c>
      <c r="D164" s="2">
        <f t="shared" si="12"/>
        <v>0.9989347805891583</v>
      </c>
      <c r="E164" s="2">
        <f t="shared" si="15"/>
        <v>80884351493837.328</v>
      </c>
      <c r="F164" s="1"/>
      <c r="G164" s="1">
        <f t="shared" si="17"/>
        <v>0</v>
      </c>
      <c r="H164" s="1">
        <v>0</v>
      </c>
      <c r="I164">
        <v>1.4E-2</v>
      </c>
      <c r="J164">
        <f t="shared" si="10"/>
        <v>-644923488.73050153</v>
      </c>
    </row>
    <row r="165" spans="1:10">
      <c r="A165" s="1">
        <v>162</v>
      </c>
      <c r="B165" s="3">
        <v>2E+19</v>
      </c>
      <c r="C165" s="3">
        <f t="shared" si="14"/>
        <v>239913900</v>
      </c>
      <c r="D165" s="2">
        <f t="shared" si="12"/>
        <v>0.99907714177724027</v>
      </c>
      <c r="E165" s="2">
        <f t="shared" si="15"/>
        <v>71180594040987.094</v>
      </c>
      <c r="F165" s="1"/>
      <c r="G165" s="1">
        <f t="shared" si="17"/>
        <v>0</v>
      </c>
      <c r="H165" s="1">
        <v>0</v>
      </c>
      <c r="I165">
        <v>1.4E-2</v>
      </c>
      <c r="J165">
        <f t="shared" si="10"/>
        <v>-580733006.47394574</v>
      </c>
    </row>
    <row r="166" spans="1:10">
      <c r="A166" s="1">
        <v>163</v>
      </c>
      <c r="B166" s="3">
        <v>2E+19</v>
      </c>
      <c r="C166" s="3">
        <f t="shared" si="14"/>
        <v>241394850</v>
      </c>
      <c r="D166" s="2">
        <f t="shared" si="12"/>
        <v>0.99920215133863166</v>
      </c>
      <c r="E166" s="2">
        <f t="shared" si="15"/>
        <v>62504780695693.539</v>
      </c>
      <c r="F166" s="1"/>
      <c r="G166" s="1">
        <f t="shared" si="17"/>
        <v>0</v>
      </c>
      <c r="H166" s="1">
        <v>0</v>
      </c>
      <c r="I166">
        <v>1.4E-2</v>
      </c>
      <c r="J166">
        <f t="shared" si="10"/>
        <v>-521716665.70946521</v>
      </c>
    </row>
    <row r="167" spans="1:10">
      <c r="A167" s="1">
        <v>164</v>
      </c>
      <c r="B167" s="3">
        <v>2E+19</v>
      </c>
      <c r="C167" s="3">
        <f t="shared" si="14"/>
        <v>242875800</v>
      </c>
      <c r="D167" s="2">
        <f t="shared" si="12"/>
        <v>0.99931168365804202</v>
      </c>
      <c r="E167" s="2">
        <f t="shared" si="15"/>
        <v>54766159705177.398</v>
      </c>
      <c r="F167" s="1"/>
      <c r="G167" s="1">
        <f t="shared" si="17"/>
        <v>0</v>
      </c>
      <c r="H167" s="1">
        <v>0</v>
      </c>
      <c r="I167">
        <v>1.4E-2</v>
      </c>
      <c r="J167">
        <f t="shared" si="10"/>
        <v>-467604268.48178792</v>
      </c>
    </row>
    <row r="168" spans="1:10">
      <c r="A168" s="1">
        <v>165</v>
      </c>
      <c r="B168" s="3">
        <v>2E+19</v>
      </c>
      <c r="C168" s="3">
        <f t="shared" si="14"/>
        <v>244356750</v>
      </c>
      <c r="D168" s="2">
        <f t="shared" si="12"/>
        <v>0.9994074431062453</v>
      </c>
      <c r="E168" s="2">
        <f t="shared" si="15"/>
        <v>47879724101640.43</v>
      </c>
      <c r="F168" s="1"/>
      <c r="G168" s="1">
        <f t="shared" si="17"/>
        <v>0</v>
      </c>
      <c r="H168" s="1">
        <v>0</v>
      </c>
      <c r="I168">
        <v>1.4E-2</v>
      </c>
      <c r="J168">
        <f t="shared" si="10"/>
        <v>-418122246.33752787</v>
      </c>
    </row>
    <row r="169" spans="1:10">
      <c r="A169" s="1">
        <v>166</v>
      </c>
      <c r="B169" s="3">
        <v>2E+19</v>
      </c>
      <c r="C169" s="3">
        <f t="shared" si="14"/>
        <v>245837700</v>
      </c>
      <c r="D169" s="2">
        <f t="shared" si="12"/>
        <v>0.9994909753469533</v>
      </c>
      <c r="E169" s="2">
        <f t="shared" si="15"/>
        <v>41766120354003.18</v>
      </c>
      <c r="F169" s="1"/>
      <c r="G169" s="1">
        <f t="shared" si="17"/>
        <v>0</v>
      </c>
      <c r="H169" s="1">
        <v>0</v>
      </c>
      <c r="I169">
        <v>1.4E-2</v>
      </c>
      <c r="J169">
        <f t="shared" si="10"/>
        <v>-372996247.17930478</v>
      </c>
    </row>
    <row r="170" spans="1:10">
      <c r="A170" s="1">
        <v>167</v>
      </c>
      <c r="B170" s="3">
        <v>2E+19</v>
      </c>
      <c r="C170" s="3">
        <f t="shared" si="14"/>
        <v>247318650</v>
      </c>
      <c r="D170" s="2">
        <f t="shared" si="12"/>
        <v>0.99956367839130844</v>
      </c>
      <c r="E170" s="2">
        <f t="shared" si="15"/>
        <v>36351522177568.984</v>
      </c>
      <c r="F170" s="1"/>
      <c r="G170" s="1">
        <f t="shared" si="17"/>
        <v>0</v>
      </c>
      <c r="H170" s="1">
        <v>0</v>
      </c>
      <c r="I170">
        <v>1.4E-2</v>
      </c>
      <c r="J170">
        <f t="shared" si="10"/>
        <v>-331953458.90216583</v>
      </c>
    </row>
    <row r="171" spans="1:10">
      <c r="A171" s="1">
        <v>168</v>
      </c>
      <c r="B171" s="3">
        <v>2E+19</v>
      </c>
      <c r="C171" s="3">
        <f t="shared" si="14"/>
        <v>248799600</v>
      </c>
      <c r="D171" s="2">
        <f t="shared" si="12"/>
        <v>0.99962681333980608</v>
      </c>
      <c r="E171" s="2">
        <f t="shared" si="15"/>
        <v>31567474248817.008</v>
      </c>
      <c r="F171" s="1"/>
      <c r="G171" s="1">
        <f t="shared" si="17"/>
        <v>0</v>
      </c>
      <c r="H171" s="1">
        <v>0</v>
      </c>
      <c r="I171">
        <v>1.4E-2</v>
      </c>
      <c r="J171">
        <f t="shared" si="10"/>
        <v>-294724678.18335235</v>
      </c>
    </row>
    <row r="172" spans="1:10">
      <c r="A172" s="1">
        <v>169</v>
      </c>
      <c r="B172" s="3">
        <v>2E+19</v>
      </c>
      <c r="C172" s="3">
        <f t="shared" si="14"/>
        <v>250280550</v>
      </c>
      <c r="D172" s="2">
        <f t="shared" si="12"/>
        <v>0.99968151476069844</v>
      </c>
      <c r="E172" s="2">
        <f t="shared" si="15"/>
        <v>27350710446183.426</v>
      </c>
      <c r="F172" s="1"/>
      <c r="G172" s="1">
        <f t="shared" si="17"/>
        <v>0</v>
      </c>
      <c r="H172" s="1">
        <v>0</v>
      </c>
      <c r="I172">
        <v>1.4E-2</v>
      </c>
      <c r="J172">
        <f t="shared" si="10"/>
        <v>-261046124.85083246</v>
      </c>
    </row>
    <row r="173" spans="1:10">
      <c r="A173" s="1">
        <v>170</v>
      </c>
      <c r="B173" s="3">
        <v>2E+19</v>
      </c>
      <c r="C173" s="3">
        <f t="shared" si="14"/>
        <v>251761500</v>
      </c>
      <c r="D173" s="2">
        <f t="shared" si="12"/>
        <v>0.99972880066281467</v>
      </c>
      <c r="E173" s="2">
        <f t="shared" si="15"/>
        <v>23642951058111.539</v>
      </c>
      <c r="F173" s="1"/>
      <c r="G173" s="1">
        <f t="shared" si="17"/>
        <v>0</v>
      </c>
      <c r="H173" s="1">
        <v>0</v>
      </c>
      <c r="I173">
        <v>1.4E-2</v>
      </c>
      <c r="J173">
        <f t="shared" si="10"/>
        <v>-230661008.05631927</v>
      </c>
    </row>
    <row r="174" spans="1:10">
      <c r="A174" s="1">
        <v>171</v>
      </c>
      <c r="B174" s="3">
        <v>2E+19</v>
      </c>
      <c r="C174" s="3">
        <f t="shared" si="14"/>
        <v>253242450</v>
      </c>
      <c r="D174" s="2">
        <f t="shared" si="12"/>
        <v>0.99976958202917587</v>
      </c>
      <c r="E174" s="2">
        <f t="shared" si="15"/>
        <v>20390683180604.441</v>
      </c>
      <c r="F174" s="1"/>
      <c r="G174" s="1">
        <f t="shared" si="17"/>
        <v>0</v>
      </c>
      <c r="H174" s="1">
        <v>0</v>
      </c>
      <c r="I174">
        <v>1.4E-2</v>
      </c>
      <c r="J174">
        <f t="shared" si="10"/>
        <v>-203320852.41763675</v>
      </c>
    </row>
    <row r="175" spans="1:10">
      <c r="A175" s="1">
        <v>172</v>
      </c>
      <c r="B175" s="3">
        <v>2E+19</v>
      </c>
      <c r="C175" s="3">
        <f t="shared" si="14"/>
        <v>254723400</v>
      </c>
      <c r="D175" s="2">
        <f t="shared" si="12"/>
        <v>0.99980467188573008</v>
      </c>
      <c r="E175" s="2">
        <f t="shared" si="15"/>
        <v>17544928277102.301</v>
      </c>
      <c r="F175" s="1"/>
      <c r="G175" s="1">
        <f t="shared" si="17"/>
        <v>0</v>
      </c>
      <c r="H175" s="1">
        <v>0</v>
      </c>
      <c r="I175">
        <v>1.4E-2</v>
      </c>
      <c r="J175">
        <f t="shared" si="10"/>
        <v>-178786594.78777918</v>
      </c>
    </row>
    <row r="176" spans="1:10">
      <c r="A176" s="1">
        <v>173</v>
      </c>
      <c r="B176" s="3">
        <v>2E+19</v>
      </c>
      <c r="C176" s="3">
        <f t="shared" si="14"/>
        <v>256204350</v>
      </c>
      <c r="D176" s="2">
        <f t="shared" si="12"/>
        <v>0.99983479388691132</v>
      </c>
      <c r="E176" s="2">
        <f t="shared" si="15"/>
        <v>15061000590621.543</v>
      </c>
      <c r="F176" s="1"/>
      <c r="G176" s="1">
        <f t="shared" si="17"/>
        <v>0</v>
      </c>
      <c r="H176" s="1">
        <v>0</v>
      </c>
      <c r="I176">
        <v>1.4E-2</v>
      </c>
      <c r="J176">
        <f t="shared" si="10"/>
        <v>-156829464.10297152</v>
      </c>
    </row>
    <row r="177" spans="1:10">
      <c r="A177" s="1">
        <v>174.53789280000001</v>
      </c>
      <c r="B177" s="3">
        <v>2E+19</v>
      </c>
      <c r="C177" s="3">
        <f t="shared" si="14"/>
        <v>258481892.34215999</v>
      </c>
      <c r="D177" s="2">
        <f t="shared" si="12"/>
        <v>0.99987287885803644</v>
      </c>
      <c r="E177" s="2">
        <f t="shared" si="15"/>
        <v>12382193064795.65</v>
      </c>
      <c r="F177" s="1"/>
      <c r="G177" s="1">
        <v>4.6932399999999999E-2</v>
      </c>
      <c r="H177" s="1">
        <v>4.6932399999999999E-2</v>
      </c>
      <c r="I177">
        <v>1.4E-2</v>
      </c>
      <c r="J177">
        <f t="shared" si="10"/>
        <v>-137231658.09386295</v>
      </c>
    </row>
    <row r="178" spans="1:10">
      <c r="A178" s="1">
        <v>175</v>
      </c>
      <c r="B178" s="3">
        <v>2E+19</v>
      </c>
      <c r="C178" s="3">
        <f t="shared" si="14"/>
        <v>259166250</v>
      </c>
      <c r="D178" s="2">
        <f t="shared" si="12"/>
        <v>0.99988263012860323</v>
      </c>
      <c r="E178" s="2">
        <f t="shared" si="15"/>
        <v>10550874955847.545</v>
      </c>
      <c r="F178" s="1"/>
      <c r="G178" s="1">
        <f t="shared" ref="G178:G205" si="18">B$2*0</f>
        <v>0</v>
      </c>
      <c r="H178" s="1">
        <v>0</v>
      </c>
      <c r="I178">
        <v>1.4E-2</v>
      </c>
      <c r="J178">
        <f t="shared" si="10"/>
        <v>-119786832.11091132</v>
      </c>
    </row>
    <row r="179" spans="1:10">
      <c r="A179" s="1">
        <v>176</v>
      </c>
      <c r="B179" s="3">
        <v>2E+19</v>
      </c>
      <c r="C179" s="3">
        <f t="shared" si="14"/>
        <v>260647200</v>
      </c>
      <c r="D179" s="2">
        <f t="shared" si="12"/>
        <v>0.99990141513846986</v>
      </c>
      <c r="E179" s="2">
        <f t="shared" si="15"/>
        <v>9392504933314.3379</v>
      </c>
      <c r="F179" s="1"/>
      <c r="G179" s="1">
        <f t="shared" si="18"/>
        <v>0</v>
      </c>
      <c r="H179" s="1">
        <v>0</v>
      </c>
      <c r="I179">
        <v>1.4E-2</v>
      </c>
      <c r="J179">
        <f t="shared" si="10"/>
        <v>-84004705.044501141</v>
      </c>
    </row>
    <row r="180" spans="1:10">
      <c r="A180" s="1">
        <v>177</v>
      </c>
      <c r="B180" s="3">
        <v>2E+19</v>
      </c>
      <c r="C180" s="3">
        <f t="shared" si="14"/>
        <v>262128150</v>
      </c>
      <c r="D180" s="2">
        <f t="shared" si="12"/>
        <v>0.9999173875190136</v>
      </c>
      <c r="E180" s="2">
        <f t="shared" si="15"/>
        <v>7986190271869.1982</v>
      </c>
      <c r="F180" s="1"/>
      <c r="G180" s="1">
        <f t="shared" si="18"/>
        <v>0</v>
      </c>
      <c r="H180" s="1">
        <v>0</v>
      </c>
      <c r="I180">
        <v>1.4E-2</v>
      </c>
      <c r="J180">
        <f t="shared" si="10"/>
        <v>-191112400.45509171</v>
      </c>
    </row>
    <row r="181" spans="1:10">
      <c r="A181" s="1">
        <v>178</v>
      </c>
      <c r="B181" s="3">
        <v>2E+19</v>
      </c>
      <c r="C181" s="3">
        <f t="shared" si="14"/>
        <v>263609100</v>
      </c>
      <c r="D181" s="2">
        <f t="shared" si="12"/>
        <v>0.99993093546158274</v>
      </c>
      <c r="E181" s="2">
        <f t="shared" si="15"/>
        <v>6773971284568.248</v>
      </c>
      <c r="F181" s="1"/>
      <c r="G181" s="1">
        <f t="shared" si="18"/>
        <v>0</v>
      </c>
      <c r="H181" s="1">
        <v>0</v>
      </c>
      <c r="I181">
        <v>1.4E-2</v>
      </c>
      <c r="J181">
        <f t="shared" si="10"/>
        <v>-55867601.58852943</v>
      </c>
    </row>
    <row r="182" spans="1:10">
      <c r="A182" s="1">
        <v>179</v>
      </c>
      <c r="B182" s="3">
        <v>2E+19</v>
      </c>
      <c r="C182" s="3">
        <f t="shared" si="14"/>
        <v>265090050</v>
      </c>
      <c r="D182" s="2">
        <f t="shared" si="12"/>
        <v>0.99994239890442216</v>
      </c>
      <c r="E182" s="2">
        <f t="shared" si="15"/>
        <v>5731721419710.5674</v>
      </c>
      <c r="F182" s="1"/>
      <c r="G182" s="1">
        <f t="shared" si="18"/>
        <v>0</v>
      </c>
      <c r="H182" s="1">
        <v>0</v>
      </c>
      <c r="I182">
        <v>1.4E-2</v>
      </c>
      <c r="J182">
        <f t="shared" si="10"/>
        <v>-67823967.387708038</v>
      </c>
    </row>
    <row r="183" spans="1:10">
      <c r="A183" s="1">
        <v>180</v>
      </c>
      <c r="B183" s="3">
        <v>2E+19</v>
      </c>
      <c r="C183" s="3">
        <f t="shared" si="14"/>
        <v>266571000</v>
      </c>
      <c r="D183" s="2">
        <f t="shared" si="12"/>
        <v>0.99995207471468006</v>
      </c>
      <c r="E183" s="2">
        <f t="shared" si="15"/>
        <v>4837905128951.5469</v>
      </c>
      <c r="F183" s="1"/>
      <c r="G183" s="1">
        <f t="shared" si="18"/>
        <v>0</v>
      </c>
      <c r="H183" s="1">
        <v>0</v>
      </c>
      <c r="I183">
        <v>1.4E-2</v>
      </c>
      <c r="J183">
        <f t="shared" ref="J183:J207" si="19">IF(A181&gt;=50,(J180+D181*(E181-E180))/(1+I181*(C181-C180)),0)</f>
        <v>-58469607.286312379</v>
      </c>
    </row>
    <row r="184" spans="1:10">
      <c r="A184" s="1">
        <v>181</v>
      </c>
      <c r="B184" s="3">
        <v>2E+19</v>
      </c>
      <c r="C184" s="3">
        <f t="shared" si="14"/>
        <v>268051950</v>
      </c>
      <c r="D184" s="2">
        <f t="shared" si="12"/>
        <v>0.99996022143246965</v>
      </c>
      <c r="E184" s="2">
        <f t="shared" si="15"/>
        <v>4073358894796.0977</v>
      </c>
      <c r="F184" s="1"/>
      <c r="G184" s="1">
        <f t="shared" si="18"/>
        <v>0</v>
      </c>
      <c r="H184" s="1">
        <v>0</v>
      </c>
      <c r="I184">
        <v>1.4E-2</v>
      </c>
      <c r="J184">
        <f t="shared" si="19"/>
        <v>-50266741.473075412</v>
      </c>
    </row>
    <row r="185" spans="1:10">
      <c r="A185" s="1">
        <v>182</v>
      </c>
      <c r="B185" s="3">
        <v>2E+19</v>
      </c>
      <c r="C185" s="3">
        <f t="shared" si="14"/>
        <v>269532900</v>
      </c>
      <c r="D185" s="2">
        <f t="shared" si="12"/>
        <v>0.9999670635974216</v>
      </c>
      <c r="E185" s="2">
        <f t="shared" si="15"/>
        <v>3421082475973.9468</v>
      </c>
      <c r="F185" s="1"/>
      <c r="G185" s="1">
        <f t="shared" si="18"/>
        <v>0</v>
      </c>
      <c r="H185" s="1">
        <v>0</v>
      </c>
      <c r="I185">
        <v>1.4E-2</v>
      </c>
      <c r="J185">
        <f t="shared" si="19"/>
        <v>-43109305.75547041</v>
      </c>
    </row>
    <row r="186" spans="1:10">
      <c r="A186" s="1">
        <v>183</v>
      </c>
      <c r="B186" s="3">
        <v>2E+19</v>
      </c>
      <c r="C186" s="3">
        <f t="shared" si="14"/>
        <v>271013850</v>
      </c>
      <c r="D186" s="2">
        <f t="shared" si="12"/>
        <v>0.99997279567961606</v>
      </c>
      <c r="E186" s="2">
        <f t="shared" si="15"/>
        <v>2866041097226.9902</v>
      </c>
      <c r="F186" s="1"/>
      <c r="G186" s="1">
        <f t="shared" si="18"/>
        <v>0</v>
      </c>
      <c r="H186" s="1">
        <v>0</v>
      </c>
      <c r="I186">
        <v>1.4E-2</v>
      </c>
      <c r="J186">
        <f t="shared" si="19"/>
        <v>-36874854.285349883</v>
      </c>
    </row>
    <row r="187" spans="1:10">
      <c r="A187" s="1">
        <v>184</v>
      </c>
      <c r="B187" s="3">
        <v>2E+19</v>
      </c>
      <c r="C187" s="3">
        <f t="shared" si="14"/>
        <v>272494800</v>
      </c>
      <c r="D187" s="2">
        <f t="shared" si="12"/>
        <v>0.99997758563779593</v>
      </c>
      <c r="E187" s="2">
        <f t="shared" si="15"/>
        <v>2394979089936.9106</v>
      </c>
      <c r="F187" s="1"/>
      <c r="G187" s="1">
        <f t="shared" si="18"/>
        <v>0</v>
      </c>
      <c r="H187" s="1">
        <v>0</v>
      </c>
      <c r="I187">
        <v>1.4E-2</v>
      </c>
      <c r="J187">
        <f t="shared" si="19"/>
        <v>-31460198.893857095</v>
      </c>
    </row>
    <row r="188" spans="1:10">
      <c r="A188" s="1">
        <v>185</v>
      </c>
      <c r="B188" s="3">
        <v>2E+19</v>
      </c>
      <c r="C188" s="3">
        <f t="shared" si="14"/>
        <v>273975750</v>
      </c>
      <c r="D188" s="2">
        <f t="shared" si="12"/>
        <v>0.99998157812835942</v>
      </c>
      <c r="E188" s="2">
        <f t="shared" si="15"/>
        <v>1996245281743.4695</v>
      </c>
      <c r="F188" s="1"/>
      <c r="G188" s="1">
        <f t="shared" si="18"/>
        <v>0</v>
      </c>
      <c r="H188" s="1">
        <v>0</v>
      </c>
      <c r="I188">
        <v>1.4E-2</v>
      </c>
      <c r="J188">
        <f t="shared" si="19"/>
        <v>-26770587.313254766</v>
      </c>
    </row>
    <row r="189" spans="1:10">
      <c r="A189" s="1">
        <v>186</v>
      </c>
      <c r="B189" s="3">
        <v>2E+19</v>
      </c>
      <c r="C189" s="3">
        <f t="shared" si="14"/>
        <v>275456700</v>
      </c>
      <c r="D189" s="2">
        <f t="shared" si="12"/>
        <v>0.99998489738887464</v>
      </c>
      <c r="E189" s="2">
        <f t="shared" si="15"/>
        <v>1659630257611.0667</v>
      </c>
      <c r="F189" s="1"/>
      <c r="G189" s="1">
        <f t="shared" si="18"/>
        <v>0</v>
      </c>
      <c r="H189" s="1">
        <v>0</v>
      </c>
      <c r="I189">
        <v>1.4E-2</v>
      </c>
      <c r="J189">
        <f t="shared" si="19"/>
        <v>-22720242.476954274</v>
      </c>
    </row>
    <row r="190" spans="1:10">
      <c r="A190" s="1">
        <v>187</v>
      </c>
      <c r="B190" s="3">
        <v>2E+19</v>
      </c>
      <c r="C190" s="3">
        <f t="shared" si="14"/>
        <v>276937650</v>
      </c>
      <c r="D190" s="2">
        <f t="shared" si="12"/>
        <v>0.99998764981978405</v>
      </c>
      <c r="E190" s="2">
        <f t="shared" si="15"/>
        <v>1376215454707.0083</v>
      </c>
      <c r="F190" s="1"/>
      <c r="G190" s="1">
        <f t="shared" si="18"/>
        <v>0</v>
      </c>
      <c r="H190" s="1">
        <v>0</v>
      </c>
      <c r="I190">
        <v>1.4E-2</v>
      </c>
      <c r="J190">
        <f t="shared" si="19"/>
        <v>-19231800.589810204</v>
      </c>
    </row>
    <row r="191" spans="1:10">
      <c r="A191" s="1">
        <v>188</v>
      </c>
      <c r="B191" s="3">
        <v>2E+19</v>
      </c>
      <c r="C191" s="3">
        <f t="shared" si="14"/>
        <v>278418600</v>
      </c>
      <c r="D191" s="2">
        <f t="shared" si="12"/>
        <v>0.99998992628761707</v>
      </c>
      <c r="E191" s="2">
        <f t="shared" si="15"/>
        <v>1138233916508.9128</v>
      </c>
      <c r="F191" s="1"/>
      <c r="G191" s="1">
        <f t="shared" si="18"/>
        <v>0</v>
      </c>
      <c r="H191" s="1">
        <v>0</v>
      </c>
      <c r="I191">
        <v>1.4E-2</v>
      </c>
      <c r="J191">
        <f t="shared" si="19"/>
        <v>-16235740.341072893</v>
      </c>
    </row>
    <row r="192" spans="1:10">
      <c r="A192" s="1">
        <v>189</v>
      </c>
      <c r="B192" s="3">
        <v>2E+19</v>
      </c>
      <c r="C192" s="3">
        <f t="shared" si="14"/>
        <v>279899550</v>
      </c>
      <c r="D192" s="2">
        <f t="shared" si="12"/>
        <v>0.99999180417245381</v>
      </c>
      <c r="E192" s="2">
        <f t="shared" si="15"/>
        <v>938942418371.44678</v>
      </c>
      <c r="F192" s="1"/>
      <c r="G192" s="1">
        <f t="shared" si="18"/>
        <v>0</v>
      </c>
      <c r="H192" s="1">
        <v>0</v>
      </c>
      <c r="I192">
        <v>1.4E-2</v>
      </c>
      <c r="J192">
        <f t="shared" si="19"/>
        <v>-13669813.927773958</v>
      </c>
    </row>
    <row r="193" spans="1:10">
      <c r="A193" s="1">
        <v>190</v>
      </c>
      <c r="B193" s="3">
        <v>2E+19</v>
      </c>
      <c r="C193" s="3">
        <f t="shared" si="14"/>
        <v>281380500</v>
      </c>
      <c r="D193" s="2">
        <f t="shared" si="12"/>
        <v>0.99999334918161242</v>
      </c>
      <c r="E193" s="2">
        <f t="shared" si="15"/>
        <v>772504579305</v>
      </c>
      <c r="F193" s="1"/>
      <c r="G193" s="1">
        <f t="shared" si="18"/>
        <v>0</v>
      </c>
      <c r="H193" s="1">
        <v>0</v>
      </c>
      <c r="I193">
        <v>1.4E-2</v>
      </c>
      <c r="J193">
        <f t="shared" si="19"/>
        <v>-11478486.017908346</v>
      </c>
    </row>
    <row r="194" spans="1:10">
      <c r="A194" s="1">
        <v>191</v>
      </c>
      <c r="B194" s="3">
        <v>2E+19</v>
      </c>
      <c r="C194" s="3">
        <f t="shared" si="14"/>
        <v>282861450</v>
      </c>
      <c r="D194" s="2">
        <f t="shared" ref="D194:D207" si="20">1-EXP(-0.000000277*A194^3.35)</f>
        <v>0.99999461695061143</v>
      </c>
      <c r="E194" s="2">
        <f t="shared" si="15"/>
        <v>633884499501.30261</v>
      </c>
      <c r="F194" s="1"/>
      <c r="G194" s="1">
        <f t="shared" si="18"/>
        <v>0</v>
      </c>
      <c r="H194" s="1">
        <v>0</v>
      </c>
      <c r="I194">
        <v>1.4E-2</v>
      </c>
      <c r="J194">
        <f t="shared" si="19"/>
        <v>-9612386.2642605249</v>
      </c>
    </row>
    <row r="195" spans="1:10">
      <c r="A195" s="1">
        <v>192</v>
      </c>
      <c r="B195" s="3">
        <v>2E+19</v>
      </c>
      <c r="C195" s="3">
        <f t="shared" ref="C195:C207" si="21">1000000*(A195*10970*24*3600)/(B195*0.000000000032)</f>
        <v>284342400</v>
      </c>
      <c r="D195" s="2">
        <f t="shared" si="20"/>
        <v>0.99999565445142258</v>
      </c>
      <c r="E195" s="2">
        <f t="shared" ref="E195:E207" si="22">500000000000000000*(D195-D194)/(A195-A194)</f>
        <v>518750405575.91846</v>
      </c>
      <c r="F195" s="1"/>
      <c r="G195" s="1">
        <f t="shared" si="18"/>
        <v>0</v>
      </c>
      <c r="H195" s="1">
        <v>0</v>
      </c>
      <c r="I195">
        <v>1.4E-2</v>
      </c>
      <c r="J195">
        <f t="shared" si="19"/>
        <v>-8027780.148475429</v>
      </c>
    </row>
    <row r="196" spans="1:10">
      <c r="A196" s="1">
        <v>193</v>
      </c>
      <c r="B196" s="3">
        <v>2E+19</v>
      </c>
      <c r="C196" s="3">
        <f t="shared" si="21"/>
        <v>285823350</v>
      </c>
      <c r="D196" s="2">
        <f t="shared" si="20"/>
        <v>0.99999650122689876</v>
      </c>
      <c r="E196" s="2">
        <f t="shared" si="22"/>
        <v>423387738091.03003</v>
      </c>
      <c r="F196" s="1"/>
      <c r="G196" s="1">
        <f t="shared" si="18"/>
        <v>0</v>
      </c>
      <c r="H196" s="1">
        <v>0</v>
      </c>
      <c r="I196">
        <v>1.4E-2</v>
      </c>
      <c r="J196">
        <f t="shared" si="19"/>
        <v>-6686061.8439484071</v>
      </c>
    </row>
    <row r="197" spans="1:10">
      <c r="A197" s="1">
        <v>194</v>
      </c>
      <c r="B197" s="3">
        <v>2E+19</v>
      </c>
      <c r="C197" s="3">
        <f t="shared" si="21"/>
        <v>287304300</v>
      </c>
      <c r="D197" s="2">
        <f t="shared" si="20"/>
        <v>0.9999971904690842</v>
      </c>
      <c r="E197" s="2">
        <f t="shared" si="22"/>
        <v>344621092718.26691</v>
      </c>
      <c r="F197" s="1"/>
      <c r="G197" s="1">
        <f t="shared" si="18"/>
        <v>0</v>
      </c>
      <c r="H197" s="1">
        <v>0</v>
      </c>
      <c r="I197">
        <v>1.4E-2</v>
      </c>
      <c r="J197">
        <f t="shared" si="19"/>
        <v>-5553271.9209643137</v>
      </c>
    </row>
    <row r="198" spans="1:10">
      <c r="A198" s="1">
        <v>195</v>
      </c>
      <c r="B198" s="3">
        <v>2E+19</v>
      </c>
      <c r="C198" s="3">
        <f t="shared" si="21"/>
        <v>288785250</v>
      </c>
      <c r="D198" s="2">
        <f t="shared" si="20"/>
        <v>0.99999774995789525</v>
      </c>
      <c r="E198" s="2">
        <f t="shared" si="22"/>
        <v>279744405529.13647</v>
      </c>
      <c r="F198" s="1"/>
      <c r="G198" s="1">
        <f t="shared" si="18"/>
        <v>0</v>
      </c>
      <c r="H198" s="1">
        <v>0</v>
      </c>
      <c r="I198">
        <v>1.4E-2</v>
      </c>
      <c r="J198">
        <f t="shared" si="19"/>
        <v>-4599642.2166507207</v>
      </c>
    </row>
    <row r="199" spans="1:10">
      <c r="A199" s="1">
        <v>196</v>
      </c>
      <c r="B199" s="3">
        <v>2E+19</v>
      </c>
      <c r="C199" s="3">
        <f t="shared" si="21"/>
        <v>290266200</v>
      </c>
      <c r="D199" s="2">
        <f t="shared" si="20"/>
        <v>0.99999820287543673</v>
      </c>
      <c r="E199" s="2">
        <f t="shared" si="22"/>
        <v>226458770735.68243</v>
      </c>
      <c r="F199" s="1"/>
      <c r="G199" s="1">
        <f t="shared" si="18"/>
        <v>0</v>
      </c>
      <c r="H199" s="1">
        <v>0</v>
      </c>
      <c r="I199">
        <v>1.4E-2</v>
      </c>
      <c r="J199">
        <f t="shared" si="19"/>
        <v>-3799169.0164260077</v>
      </c>
    </row>
    <row r="200" spans="1:10">
      <c r="A200" s="1">
        <v>197</v>
      </c>
      <c r="B200" s="3">
        <v>2E+19</v>
      </c>
      <c r="C200" s="3">
        <f t="shared" si="21"/>
        <v>291747150</v>
      </c>
      <c r="D200" s="2">
        <f t="shared" si="20"/>
        <v>0.99999856851000024</v>
      </c>
      <c r="E200" s="2">
        <f t="shared" si="22"/>
        <v>182817281757.508</v>
      </c>
      <c r="F200" s="1"/>
      <c r="G200" s="1">
        <f t="shared" si="18"/>
        <v>0</v>
      </c>
      <c r="H200" s="1">
        <v>0</v>
      </c>
      <c r="I200">
        <v>1.4E-2</v>
      </c>
      <c r="J200">
        <f t="shared" si="19"/>
        <v>-3129215.5744719431</v>
      </c>
    </row>
    <row r="201" spans="1:10">
      <c r="A201" s="1">
        <v>198</v>
      </c>
      <c r="B201" s="3">
        <v>2E+19</v>
      </c>
      <c r="C201" s="3">
        <f t="shared" si="21"/>
        <v>293228100</v>
      </c>
      <c r="D201" s="2">
        <f t="shared" si="20"/>
        <v>0.99999886286260165</v>
      </c>
      <c r="E201" s="2">
        <f t="shared" si="22"/>
        <v>147176300702.15649</v>
      </c>
      <c r="F201" s="1"/>
      <c r="G201" s="1">
        <f t="shared" si="18"/>
        <v>0</v>
      </c>
      <c r="H201" s="1">
        <v>0</v>
      </c>
      <c r="I201">
        <v>1.4E-2</v>
      </c>
      <c r="J201">
        <f t="shared" si="19"/>
        <v>-2570144.0933500305</v>
      </c>
    </row>
    <row r="202" spans="1:10">
      <c r="A202" s="1">
        <v>199</v>
      </c>
      <c r="B202" s="3">
        <v>2E+19</v>
      </c>
      <c r="C202" s="3">
        <f t="shared" si="21"/>
        <v>294709050</v>
      </c>
      <c r="D202" s="2">
        <f t="shared" si="20"/>
        <v>0.99999909916775676</v>
      </c>
      <c r="E202" s="2">
        <f t="shared" si="22"/>
        <v>118152577555.09734</v>
      </c>
      <c r="F202" s="1"/>
      <c r="G202" s="1">
        <f t="shared" si="18"/>
        <v>0</v>
      </c>
      <c r="H202" s="1">
        <v>0</v>
      </c>
      <c r="I202">
        <v>1.4E-2</v>
      </c>
      <c r="J202">
        <f t="shared" si="19"/>
        <v>-2104977.0513031939</v>
      </c>
    </row>
    <row r="203" spans="1:10">
      <c r="A203" s="1">
        <v>200</v>
      </c>
      <c r="B203" s="3">
        <v>2E+19</v>
      </c>
      <c r="C203" s="3">
        <f t="shared" si="21"/>
        <v>296190000</v>
      </c>
      <c r="D203" s="2">
        <f t="shared" si="20"/>
        <v>0.9999992883390908</v>
      </c>
      <c r="E203" s="2">
        <f t="shared" si="22"/>
        <v>94585667020.918869</v>
      </c>
      <c r="F203" s="1"/>
      <c r="G203" s="1">
        <f t="shared" si="18"/>
        <v>0</v>
      </c>
      <c r="H203" s="1">
        <v>0</v>
      </c>
      <c r="I203">
        <v>1.4E-2</v>
      </c>
      <c r="J203">
        <f t="shared" si="19"/>
        <v>-1719087.2005437126</v>
      </c>
    </row>
    <row r="204" spans="1:10">
      <c r="A204" s="1">
        <v>201</v>
      </c>
      <c r="B204" s="3">
        <v>2E+19</v>
      </c>
      <c r="C204" s="3">
        <f t="shared" si="21"/>
        <v>297670950</v>
      </c>
      <c r="D204" s="2">
        <f t="shared" si="20"/>
        <v>0.99999943934932523</v>
      </c>
      <c r="E204" s="2">
        <f t="shared" si="22"/>
        <v>75505117214.103027</v>
      </c>
      <c r="F204" s="1"/>
      <c r="G204" s="1">
        <f t="shared" si="18"/>
        <v>0</v>
      </c>
      <c r="H204" s="1">
        <v>0</v>
      </c>
      <c r="I204">
        <v>1.4E-2</v>
      </c>
      <c r="J204">
        <f t="shared" si="19"/>
        <v>-1399915.4611270637</v>
      </c>
    </row>
    <row r="205" spans="1:10">
      <c r="A205" s="1">
        <v>202</v>
      </c>
      <c r="B205" s="3">
        <v>2E+19</v>
      </c>
      <c r="C205" s="3">
        <f t="shared" si="21"/>
        <v>299151900</v>
      </c>
      <c r="D205" s="2">
        <f t="shared" si="20"/>
        <v>0.99999955955319664</v>
      </c>
      <c r="E205" s="2">
        <f t="shared" si="22"/>
        <v>60101935706.047272</v>
      </c>
      <c r="F205" s="1"/>
      <c r="G205" s="1">
        <f t="shared" si="18"/>
        <v>0</v>
      </c>
      <c r="H205" s="1">
        <v>0</v>
      </c>
      <c r="I205">
        <v>1.4E-2</v>
      </c>
      <c r="J205">
        <f t="shared" si="19"/>
        <v>-1136715.4299677729</v>
      </c>
    </row>
    <row r="206" spans="1:10">
      <c r="A206" s="1">
        <v>203.00369689999999</v>
      </c>
      <c r="B206" s="3">
        <v>2E+19</v>
      </c>
      <c r="C206" s="3">
        <f t="shared" si="21"/>
        <v>300638324.92405498</v>
      </c>
      <c r="D206" s="2">
        <f t="shared" si="20"/>
        <v>0.99999965527402235</v>
      </c>
      <c r="E206" s="2">
        <f t="shared" si="22"/>
        <v>47684129397.12616</v>
      </c>
      <c r="F206" s="1"/>
      <c r="G206" s="1">
        <v>2.0408144E-2</v>
      </c>
      <c r="H206" s="1">
        <v>2.0408144E-2</v>
      </c>
      <c r="I206">
        <v>1.4E-2</v>
      </c>
      <c r="J206">
        <f t="shared" si="19"/>
        <v>-920323.2419948231</v>
      </c>
    </row>
    <row r="207" spans="1:10">
      <c r="A207" s="1">
        <v>204</v>
      </c>
      <c r="B207" s="3">
        <v>2E+19</v>
      </c>
      <c r="C207" s="3">
        <f t="shared" si="21"/>
        <v>302113800</v>
      </c>
      <c r="D207" s="2">
        <f t="shared" si="20"/>
        <v>0.99999973046911017</v>
      </c>
      <c r="E207" s="2">
        <f t="shared" si="22"/>
        <v>37737054026.557816</v>
      </c>
      <c r="F207" s="1"/>
      <c r="G207" s="1">
        <v>0</v>
      </c>
      <c r="H207" s="1">
        <v>0</v>
      </c>
      <c r="I207">
        <v>1.4E-2</v>
      </c>
      <c r="J207">
        <f t="shared" si="19"/>
        <v>-742951.27586823888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F3AF024BB8C54B9D476AC0CC22F269" ma:contentTypeVersion="18" ma:contentTypeDescription="Creare un nuovo documento." ma:contentTypeScope="" ma:versionID="08acf771453ca79b618e7df9a784f2d5">
  <xsd:schema xmlns:xsd="http://www.w3.org/2001/XMLSchema" xmlns:xs="http://www.w3.org/2001/XMLSchema" xmlns:p="http://schemas.microsoft.com/office/2006/metadata/properties" xmlns:ns3="467a0ed1-ce57-490c-8ec0-02492aaffc66" xmlns:ns4="31bfb4d8-740a-4bd4-8d2a-223a8f0584e3" targetNamespace="http://schemas.microsoft.com/office/2006/metadata/properties" ma:root="true" ma:fieldsID="3c8a480170ee5009a4f51e4ae8d0dd03" ns3:_="" ns4:_="">
    <xsd:import namespace="467a0ed1-ce57-490c-8ec0-02492aaffc66"/>
    <xsd:import namespace="31bfb4d8-740a-4bd4-8d2a-223a8f0584e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7a0ed1-ce57-490c-8ec0-02492aaffc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bfb4d8-740a-4bd4-8d2a-223a8f0584e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67a0ed1-ce57-490c-8ec0-02492aaffc66" xsi:nil="true"/>
  </documentManagement>
</p:properties>
</file>

<file path=customXml/itemProps1.xml><?xml version="1.0" encoding="utf-8"?>
<ds:datastoreItem xmlns:ds="http://schemas.openxmlformats.org/officeDocument/2006/customXml" ds:itemID="{71F5A186-78E9-4372-9197-AEBD8F14E1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7a0ed1-ce57-490c-8ec0-02492aaffc66"/>
    <ds:schemaRef ds:uri="31bfb4d8-740a-4bd4-8d2a-223a8f0584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DAEF7DE-0D66-475E-A55D-8BB43074363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308FB9-6587-4377-83DF-88E0C85A8B03}">
  <ds:schemaRefs>
    <ds:schemaRef ds:uri="http://schemas.microsoft.com/office/2006/documentManagement/types"/>
    <ds:schemaRef ds:uri="31bfb4d8-740a-4bd4-8d2a-223a8f0584e3"/>
    <ds:schemaRef ds:uri="467a0ed1-ce57-490c-8ec0-02492aaffc66"/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Tibyan Gadalla Naeem Mustafa</dc:creator>
  <cp:lastModifiedBy>Tibyan Gadalla Naeem Mustafa</cp:lastModifiedBy>
  <dcterms:created xsi:type="dcterms:W3CDTF">2025-01-09T20:56:41Z</dcterms:created>
  <dcterms:modified xsi:type="dcterms:W3CDTF">2025-11-11T21:15:31Z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0x0101002AF3AF024BB8C54B9D476AC0CC22F269</vt:lpwstr>
  </property>
</Properties>
</file>